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3040" windowHeight="9000"/>
  </bookViews>
  <sheets>
    <sheet name="Equipe" sheetId="1" r:id="rId1"/>
    <sheet name="Backlog_Produto" sheetId="2" r:id="rId2"/>
    <sheet name="Planejamento" sheetId="3" r:id="rId3"/>
    <sheet name="Entregas" sheetId="4" r:id="rId4"/>
    <sheet name="Riscos" sheetId="5" r:id="rId5"/>
    <sheet name="#Estimativa-APF#" sheetId="6" r:id="rId6"/>
    <sheet name="#Planejamento-APF#" sheetId="7" r:id="rId7"/>
  </sheets>
  <definedNames>
    <definedName name="Restante">"OFFSET([$#REF!.$B$12];0;0;1;COUNT([$#REF!.$B$12:.$L$12]))"</definedName>
    <definedName name="Restante2">"OFFSET(#ref!,0,0,1,COUNT(#ref!)))"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EM</author>
  </authors>
  <commentList>
    <comment ref="A2" authorId="0">
      <text>
        <r>
          <rPr>
            <b/>
            <sz val="9"/>
            <color rgb="FF000000"/>
            <rFont val="Segoe UI"/>
            <charset val="134"/>
          </rPr>
          <t>Preencher as células em amarelo.</t>
        </r>
      </text>
    </comment>
  </commentList>
</comments>
</file>

<file path=xl/comments2.xml><?xml version="1.0" encoding="utf-8"?>
<comments xmlns="http://schemas.openxmlformats.org/spreadsheetml/2006/main">
  <authors>
    <author>EM</author>
  </authors>
  <commentList>
    <comment ref="A3" authorId="0">
      <text>
        <r>
          <rPr>
            <sz val="9"/>
            <color rgb="FF000000"/>
            <rFont val="Arial"/>
            <charset val="134"/>
          </rPr>
          <t xml:space="preserve">O identificador da trefa auxilia na criação e uso dos "Post-it" dos quadros Kanban ou Scrum.
</t>
        </r>
      </text>
    </comment>
    <comment ref="B3" authorId="0">
      <text>
        <r>
          <rPr>
            <sz val="9"/>
            <color rgb="FF000000"/>
            <rFont val="Arial"/>
            <charset val="134"/>
          </rPr>
          <t>Fase / Caso de Uso / História do Usuário
Esta coluna comporta tarefas das fases do processo, casos de uso e histórias de usuário. O Scrum Master deve complementá-la com as tarefas específicas do projeto.
Quebrar atividades em tarefas menores facilita a distribuição do trabalho aos membros do time.</t>
        </r>
      </text>
    </comment>
    <comment ref="C3" authorId="0">
      <text>
        <r>
          <rPr>
            <b/>
            <sz val="9"/>
            <color rgb="FF000000"/>
            <rFont val="Arial"/>
            <charset val="134"/>
          </rPr>
          <t xml:space="preserve">Tarefas
</t>
        </r>
        <r>
          <rPr>
            <sz val="9"/>
            <color rgb="FF000000"/>
            <rFont val="Arial"/>
            <charset val="134"/>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D3" authorId="0">
      <text>
        <r>
          <rPr>
            <sz val="9"/>
            <color rgb="FF000000"/>
            <rFont val="Arial"/>
            <charset val="134"/>
          </rPr>
          <t xml:space="preserve">Resultado do Planning Poker, convertido para horas.
</t>
        </r>
      </text>
    </comment>
    <comment ref="F3" authorId="0">
      <text>
        <r>
          <rPr>
            <sz val="9"/>
            <color rgb="FF000000"/>
            <rFont val="Arial"/>
            <charset val="134"/>
          </rPr>
          <t xml:space="preserve">O identificador da trefa auxilia na criação e uso dos "Post-it" dos quadros Kanban ou Scrum.
</t>
        </r>
      </text>
    </comment>
    <comment ref="G3" authorId="0">
      <text>
        <r>
          <rPr>
            <b/>
            <sz val="9"/>
            <color rgb="FF000000"/>
            <rFont val="Arial"/>
            <charset val="134"/>
          </rPr>
          <t xml:space="preserve">Tarefas
</t>
        </r>
        <r>
          <rPr>
            <sz val="9"/>
            <color rgb="FF000000"/>
            <rFont val="Arial"/>
            <charset val="134"/>
          </rPr>
          <t xml:space="preserve">
. Uma tarefa corresponde a uma Tarefa (Task) do processo.
. Pode ser também o detalhamento dos fluxos de um Caso de Uso (CRUD)
. Pode ainda ser uma História de Usuário
Quebrar os casos de uso em tarefas menores facilita a distribuição de trabalho aos membros do time.</t>
        </r>
      </text>
    </comment>
    <comment ref="H4" authorId="0">
      <text>
        <r>
          <rPr>
            <b/>
            <sz val="9"/>
            <color rgb="FF000000"/>
            <rFont val="Arial"/>
            <charset val="134"/>
          </rPr>
          <t xml:space="preserve">Pontue de 0 a 10.
</t>
        </r>
        <r>
          <rPr>
            <sz val="9"/>
            <color rgb="FF000000"/>
            <rFont val="Arial"/>
            <charset val="134"/>
          </rPr>
          <t xml:space="preserve">V = Valor: Quanto de valor a história de usuário representa para o usuário final?
</t>
        </r>
      </text>
    </comment>
    <comment ref="I4" authorId="0">
      <text>
        <r>
          <rPr>
            <b/>
            <sz val="9"/>
            <color rgb="FF000000"/>
            <rFont val="Arial"/>
            <charset val="134"/>
          </rPr>
          <t xml:space="preserve">Pontue de 0 a 10.
</t>
        </r>
        <r>
          <rPr>
            <sz val="9"/>
            <color rgb="FF000000"/>
            <rFont val="Arial"/>
            <charset val="134"/>
          </rPr>
          <t>R = Risco: Qual é o risco desta história não ser entregue?</t>
        </r>
      </text>
    </comment>
    <comment ref="J4" authorId="0">
      <text>
        <r>
          <rPr>
            <b/>
            <sz val="9"/>
            <color rgb="FF000000"/>
            <rFont val="Arial"/>
            <charset val="134"/>
          </rPr>
          <t xml:space="preserve">Somente 10 quando existe Dependência, do contrário 0.
</t>
        </r>
        <r>
          <rPr>
            <sz val="9"/>
            <color rgb="FF000000"/>
            <rFont val="Arial"/>
            <charset val="134"/>
          </rPr>
          <t>D = Dependência: A história que será pontuada, irá gerar insumos para “outras” histórias no Backlog?
Ex: Temos duas histórias no Backlog, A e B. A história A não consegue ser entregue pois necessita que a história B seja entregue antes. Diante disso a história B receberá a pontuação “10” no método VRDC pois ela precisa ser completada o mais rápido possível para que a história A também seja entregue.</t>
        </r>
      </text>
    </comment>
    <comment ref="K4" authorId="0">
      <text>
        <r>
          <rPr>
            <b/>
            <sz val="9"/>
            <color rgb="FF000000"/>
            <rFont val="Arial"/>
            <charset val="134"/>
          </rPr>
          <t xml:space="preserve">Pontue de 0 a 10.
</t>
        </r>
        <r>
          <rPr>
            <sz val="9"/>
            <color rgb="FF000000"/>
            <rFont val="Arial"/>
            <charset val="134"/>
          </rPr>
          <t>C = Complexidade Técnica: Qual a complexidade técnica (tecnologia) da história?</t>
        </r>
      </text>
    </comment>
    <comment ref="L4" authorId="0">
      <text>
        <r>
          <rPr>
            <sz val="9"/>
            <color rgb="FF000000"/>
            <rFont val="Arial"/>
            <charset val="134"/>
          </rPr>
          <t xml:space="preserve">Tem prioridade as de maior peso.
</t>
        </r>
      </text>
    </comment>
  </commentList>
</comments>
</file>

<file path=xl/comments3.xml><?xml version="1.0" encoding="utf-8"?>
<comments xmlns="http://schemas.openxmlformats.org/spreadsheetml/2006/main">
  <authors>
    <author>EM</author>
  </authors>
  <commentList>
    <comment ref="A3" authorId="0">
      <text>
        <r>
          <rPr>
            <sz val="9"/>
            <color rgb="FF000000"/>
            <rFont val="Segoe UI"/>
            <charset val="134"/>
          </rPr>
          <t>Considerando a estimativa e capacidade da equipe sugere-se o seguinte plajenamento.</t>
        </r>
      </text>
    </comment>
    <comment ref="B4" authorId="0">
      <text>
        <r>
          <rPr>
            <sz val="10"/>
            <color rgb="FF000000"/>
            <rFont val="Arial"/>
            <charset val="134"/>
          </rPr>
          <t>[Comentário encadeado]
Sua versão do Excel permite que você leia este comentário encadeado, no entanto, as edições serão removidas se o arquivo for aberto em uma versão mais recente do Excel. Saiba mais: https://go.microsoft.com/fwlink/?linkid=870924
Comentário:
    Informação vinda da estimativa</t>
        </r>
      </text>
    </comment>
    <comment ref="E5" authorId="0">
      <text>
        <r>
          <rPr>
            <sz val="10"/>
            <color rgb="FF000000"/>
            <rFont val="Arial"/>
            <charset val="134"/>
          </rPr>
          <t>As Sprints devem ser criadas no GitHub</t>
        </r>
      </text>
    </comment>
  </commentList>
</comments>
</file>

<file path=xl/comments4.xml><?xml version="1.0" encoding="utf-8"?>
<comments xmlns="http://schemas.openxmlformats.org/spreadsheetml/2006/main">
  <authors>
    <author>EM</author>
  </authors>
  <commentList>
    <comment ref="B48" authorId="0">
      <text>
        <r>
          <rPr>
            <b/>
            <sz val="8"/>
            <color rgb="FF000000"/>
            <rFont val="Arial"/>
            <charset val="134"/>
          </rPr>
          <t xml:space="preserve">Descrição do Risco
</t>
        </r>
        <r>
          <rPr>
            <sz val="8"/>
            <color rgb="FF000000"/>
            <rFont val="Arial"/>
            <charset val="134"/>
          </rPr>
          <t xml:space="preserve">
Sentença que descreve o risco, definindo o evento que, ao ocorrer, causa impacto no projeto.</t>
        </r>
      </text>
    </comment>
    <comment ref="C48" authorId="0">
      <text>
        <r>
          <rPr>
            <b/>
            <sz val="8"/>
            <color rgb="FF000000"/>
            <rFont val="Arial"/>
            <charset val="134"/>
          </rPr>
          <t xml:space="preserve">Data:
</t>
        </r>
        <r>
          <rPr>
            <sz val="8"/>
            <color rgb="FF000000"/>
            <rFont val="Arial"/>
            <charset val="134"/>
          </rPr>
          <t xml:space="preserve">Data da identificação do risco ou da alteração de seus atributos durante o monitoramento e controle de riscos.
</t>
        </r>
      </text>
    </comment>
    <comment ref="D48" authorId="0">
      <text>
        <r>
          <rPr>
            <b/>
            <sz val="8"/>
            <color rgb="FF000000"/>
            <rFont val="Arial"/>
            <charset val="134"/>
          </rPr>
          <t xml:space="preserve">Probabilidade de Ocorrência:
</t>
        </r>
        <r>
          <rPr>
            <sz val="8"/>
            <color rgb="FF000000"/>
            <rFont val="Arial"/>
            <charset val="134"/>
          </rPr>
          <t xml:space="preserve">Probabilidade de o risco ocorrer expressa qualitativamente:
    </t>
        </r>
        <r>
          <rPr>
            <b/>
            <sz val="8"/>
            <color rgb="FF000000"/>
            <rFont val="Arial"/>
            <charset val="134"/>
          </rPr>
          <t xml:space="preserve">- Alta: </t>
        </r>
        <r>
          <rPr>
            <sz val="8"/>
            <color rgb="FF000000"/>
            <rFont val="Arial"/>
            <charset val="134"/>
          </rPr>
          <t xml:space="preserve">Riscos evidentes ao projeto, cuja ocorrência é esperada à curto prazo ou que possuam probabilidade de ocorrência maior ou igual à 50% em algum momento durante o projeto.
    </t>
        </r>
        <r>
          <rPr>
            <b/>
            <sz val="8"/>
            <color rgb="FF000000"/>
            <rFont val="Arial"/>
            <charset val="134"/>
          </rPr>
          <t xml:space="preserve">- Média: </t>
        </r>
        <r>
          <rPr>
            <sz val="8"/>
            <color rgb="FF000000"/>
            <rFont val="Arial"/>
            <charset val="134"/>
          </rPr>
          <t xml:space="preserve">Riscos identificados, para os quais é esperado a ocorrência em algum momento do projeto ou cuja probabilidade é igual ou maior que 15% e menor que 50% ou desconhecida.
    </t>
        </r>
        <r>
          <rPr>
            <b/>
            <sz val="8"/>
            <color rgb="FF000000"/>
            <rFont val="Arial"/>
            <charset val="134"/>
          </rPr>
          <t xml:space="preserve">- Baixa: </t>
        </r>
        <r>
          <rPr>
            <sz val="8"/>
            <color rgb="FF000000"/>
            <rFont val="Arial"/>
            <charset val="134"/>
          </rPr>
          <t xml:space="preserve">Riscos identificados, porém cuja ocorrência não é esperada durante o projeto ou que possuam probabilidade menor que 15%.
</t>
        </r>
      </text>
    </comment>
    <comment ref="E48" authorId="0">
      <text>
        <r>
          <rPr>
            <b/>
            <sz val="8"/>
            <color rgb="FF000000"/>
            <rFont val="Arial"/>
            <charset val="134"/>
          </rPr>
          <t xml:space="preserve">Impacto do Risco:
</t>
        </r>
        <r>
          <rPr>
            <sz val="8"/>
            <color rgb="FF000000"/>
            <rFont val="Arial"/>
            <charset val="134"/>
          </rPr>
          <t xml:space="preserve">Os desvios de tempo ou custo do que foi planejado se o risco ocorrer, expresso qualitativamente.
    </t>
        </r>
        <r>
          <rPr>
            <b/>
            <sz val="8"/>
            <color rgb="FF000000"/>
            <rFont val="Arial"/>
            <charset val="134"/>
          </rPr>
          <t xml:space="preserve">- Alto: </t>
        </r>
        <r>
          <rPr>
            <sz val="8"/>
            <color rgb="FF000000"/>
            <rFont val="Arial"/>
            <charset val="134"/>
          </rPr>
          <t xml:space="preserve">Risco cujo impacto no tempo ou custo seja igual ou maior que 10% do tempo total do projeto respectivamente.
    </t>
        </r>
        <r>
          <rPr>
            <b/>
            <sz val="8"/>
            <color rgb="FF000000"/>
            <rFont val="Arial"/>
            <charset val="134"/>
          </rPr>
          <t xml:space="preserve">- Médio: </t>
        </r>
        <r>
          <rPr>
            <sz val="8"/>
            <color rgb="FF000000"/>
            <rFont val="Arial"/>
            <charset val="134"/>
          </rPr>
          <t xml:space="preserve">Risco cujo impacto no tempo ou custo seja igual ou maior que 5% e menor que 10% do tempo total do projeto respectivamente.
    </t>
        </r>
        <r>
          <rPr>
            <b/>
            <sz val="8"/>
            <color rgb="FF000000"/>
            <rFont val="Arial"/>
            <charset val="134"/>
          </rPr>
          <t xml:space="preserve">- Baixo: </t>
        </r>
        <r>
          <rPr>
            <sz val="8"/>
            <color rgb="FF000000"/>
            <rFont val="Arial"/>
            <charset val="134"/>
          </rPr>
          <t xml:space="preserve">Risco cujo impacto no tempo ou custo seja menor que 5% do tempo total do projeto respectivamente.
</t>
        </r>
      </text>
    </comment>
    <comment ref="F48" authorId="0">
      <text>
        <r>
          <rPr>
            <b/>
            <sz val="8"/>
            <color rgb="FF000000"/>
            <rFont val="Arial"/>
            <charset val="134"/>
          </rPr>
          <t xml:space="preserve">Perda Esperada do RIsco:
</t>
        </r>
        <r>
          <rPr>
            <sz val="8"/>
            <color rgb="FF000000"/>
            <rFont val="Arial"/>
            <charset val="134"/>
          </rPr>
          <t xml:space="preserve">
A Perda Esperada do Risco identifica a prioridade de tratamento dos riscos.
    </t>
        </r>
        <r>
          <rPr>
            <b/>
            <sz val="8"/>
            <color rgb="FF000000"/>
            <rFont val="Arial"/>
            <charset val="134"/>
          </rPr>
          <t xml:space="preserve">- Perda Esperada Alta: </t>
        </r>
        <r>
          <rPr>
            <sz val="8"/>
            <color rgb="FF000000"/>
            <rFont val="Arial"/>
            <charset val="134"/>
          </rPr>
          <t xml:space="preserve">Riscos de alta prioridade, para os quais devem ser elaborados planos de mitigação ao risco.
    </t>
        </r>
        <r>
          <rPr>
            <b/>
            <sz val="8"/>
            <color rgb="FF000000"/>
            <rFont val="Arial"/>
            <charset val="134"/>
          </rPr>
          <t xml:space="preserve">- Perda Esperada Média: </t>
        </r>
        <r>
          <rPr>
            <sz val="8"/>
            <color rgb="FF000000"/>
            <rFont val="Arial"/>
            <charset val="134"/>
          </rPr>
          <t xml:space="preserve">Riscos de prioridade moderada, para os quais devem ser elaborados, pelo menos, planos de contingência ao risco.
    </t>
        </r>
        <r>
          <rPr>
            <b/>
            <sz val="8"/>
            <color rgb="FF000000"/>
            <rFont val="Arial"/>
            <charset val="134"/>
          </rPr>
          <t xml:space="preserve">- Perda Esperada Baixa: </t>
        </r>
        <r>
          <rPr>
            <sz val="8"/>
            <color rgb="FF000000"/>
            <rFont val="Arial"/>
            <charset val="134"/>
          </rPr>
          <t xml:space="preserve">Riscos de baixa prioridade, para os quais não são necessários planos de resposta ao risco.
</t>
        </r>
      </text>
    </comment>
    <comment ref="G48" authorId="0">
      <text>
        <r>
          <rPr>
            <b/>
            <sz val="8"/>
            <color rgb="FF000000"/>
            <rFont val="Arial"/>
            <charset val="134"/>
          </rPr>
          <t>Situação do Risco:</t>
        </r>
        <r>
          <rPr>
            <sz val="8"/>
            <color rgb="FF000000"/>
            <rFont val="Arial"/>
            <charset val="134"/>
          </rPr>
          <t xml:space="preserve">
Situação atual do risco no projeto:
    </t>
        </r>
        <r>
          <rPr>
            <b/>
            <sz val="8"/>
            <color rgb="FF000000"/>
            <rFont val="Arial"/>
            <charset val="134"/>
          </rPr>
          <t xml:space="preserve">- Ativo: </t>
        </r>
        <r>
          <rPr>
            <sz val="8"/>
            <color rgb="FF000000"/>
            <rFont val="Arial"/>
            <charset val="134"/>
          </rPr>
          <t xml:space="preserve">Risco identificado e monitorado, porém sem nenhuma resposta sendo implementada.
    </t>
        </r>
        <r>
          <rPr>
            <b/>
            <sz val="8"/>
            <color rgb="FF000000"/>
            <rFont val="Arial"/>
            <charset val="134"/>
          </rPr>
          <t xml:space="preserve">- Em mitigação: </t>
        </r>
        <r>
          <rPr>
            <sz val="8"/>
            <color rgb="FF000000"/>
            <rFont val="Arial"/>
            <charset val="134"/>
          </rPr>
          <t xml:space="preserve">Risco para o qual está sendo executada uma estratégia de mitigação.
    </t>
        </r>
        <r>
          <rPr>
            <b/>
            <sz val="8"/>
            <color rgb="FF000000"/>
            <rFont val="Arial"/>
            <charset val="134"/>
          </rPr>
          <t xml:space="preserve">- Ocorrido: </t>
        </r>
        <r>
          <rPr>
            <sz val="8"/>
            <color rgb="FF000000"/>
            <rFont val="Arial"/>
            <charset val="134"/>
          </rPr>
          <t xml:space="preserve">Risco ocorrido no projeto para o qual está sendo aplicada a estratégia de resposta adequada, normalmente a execução de um plano de contingência.
    </t>
        </r>
        <r>
          <rPr>
            <b/>
            <sz val="8"/>
            <color rgb="FF000000"/>
            <rFont val="Arial"/>
            <charset val="134"/>
          </rPr>
          <t xml:space="preserve">- Inativo: </t>
        </r>
        <r>
          <rPr>
            <sz val="8"/>
            <color rgb="FF000000"/>
            <rFont val="Arial"/>
            <charset val="134"/>
          </rPr>
          <t xml:space="preserve">Risco eliminado, naturalmente no decorrer do tempo, por uma ação de resposta ao risco ou por este já ter ocorrido e a ser impossível nova ocorrência.
</t>
        </r>
      </text>
    </comment>
    <comment ref="H48" authorId="0">
      <text>
        <r>
          <rPr>
            <b/>
            <sz val="8"/>
            <color rgb="FF000000"/>
            <rFont val="Arial"/>
            <charset val="134"/>
          </rPr>
          <t xml:space="preserve">Gatilhos do Risco:
</t>
        </r>
        <r>
          <rPr>
            <sz val="8"/>
            <color rgb="FF000000"/>
            <rFont val="Arial"/>
            <charset val="134"/>
          </rPr>
          <t xml:space="preserve">Métricas e limites relacionados a um risco que indicam a ocorrência ou a iminência de ocorrência do risco,
por exemplo: taxa de defeitos nos resultados de testes e revisões técnicas, indicador de retrabalho do projeto,
indicador de entregas de produtos, indicador de prazo e custo de projeto, etc.
</t>
        </r>
      </text>
    </comment>
    <comment ref="J49" authorId="0">
      <text>
        <r>
          <rPr>
            <b/>
            <sz val="8"/>
            <color rgb="FF000000"/>
            <rFont val="Arial"/>
            <charset val="134"/>
          </rPr>
          <t xml:space="preserve">Plano de Mitigação do Risco:
</t>
        </r>
        <r>
          <rPr>
            <sz val="8"/>
            <color rgb="FF000000"/>
            <rFont val="Arial"/>
            <charset val="134"/>
          </rPr>
          <t xml:space="preserve">Planejamento de ações que busquem reduzir a probabilidade e/ou o impacto da ocorrência do risco
</t>
        </r>
      </text>
    </comment>
    <comment ref="K49" authorId="0">
      <text>
        <r>
          <rPr>
            <b/>
            <sz val="8"/>
            <color rgb="FF000000"/>
            <rFont val="Arial"/>
            <charset val="134"/>
          </rPr>
          <t xml:space="preserve">Plano de Contingência do Risco:
</t>
        </r>
        <r>
          <rPr>
            <sz val="8"/>
            <color rgb="FF000000"/>
            <rFont val="Arial"/>
            <charset val="134"/>
          </rPr>
          <t xml:space="preserve">Estratégia de reação aos efeitos do risco, caso este venha a ocorrer.
</t>
        </r>
      </text>
    </comment>
  </commentList>
</comments>
</file>

<file path=xl/comments5.xml><?xml version="1.0" encoding="utf-8"?>
<comments xmlns="http://schemas.openxmlformats.org/spreadsheetml/2006/main">
  <authors>
    <author>EM</author>
  </authors>
  <commentList>
    <comment ref="A7" authorId="0">
      <text>
        <r>
          <rPr>
            <b/>
            <sz val="9"/>
            <color rgb="FF000000"/>
            <rFont val="Arial"/>
            <charset val="134"/>
          </rPr>
          <t xml:space="preserve">Arquilo Lógico Interno e Arquivo de Interface Externa
</t>
        </r>
        <r>
          <rPr>
            <sz val="9"/>
            <color rgb="FF000000"/>
            <rFont val="Arial"/>
            <charset val="134"/>
          </rPr>
          <t xml:space="preserve">Registros Lógicos são subconjuntos de dados dentro de um ALI/AIE, que foram
reconhecidos pelo usuário.
Um Item de Dados, por sua vez, é um campo único e não repetido. E só devem ser contados os utilizados pela aplicação em contagem.
</t>
        </r>
        <r>
          <rPr>
            <b/>
            <sz val="9"/>
            <color rgb="FF000000"/>
            <rFont val="Arial"/>
            <charset val="134"/>
          </rPr>
          <t xml:space="preserve">
Como contar as funções de dados (arquivos ou tabelas)?
</t>
        </r>
        <r>
          <rPr>
            <sz val="9"/>
            <color rgb="FF000000"/>
            <rFont val="Arial"/>
            <charset val="134"/>
          </rPr>
          <t xml:space="preserve">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D7" authorId="0">
      <text>
        <r>
          <rPr>
            <b/>
            <sz val="9"/>
            <color rgb="FF000000"/>
            <rFont val="Arial"/>
            <charset val="134"/>
          </rPr>
          <t xml:space="preserve">EE - Entrada externa
SE - Saída externa
CE - Consulta externa
</t>
        </r>
        <r>
          <rPr>
            <sz val="9"/>
            <color rgb="FF000000"/>
            <rFont val="Arial"/>
            <charset val="134"/>
          </rPr>
          <t xml:space="preserve">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rgb="FF000000"/>
            <rFont val="Arial"/>
            <charset val="134"/>
          </rPr>
          <t xml:space="preserve">
Como contar as funções transacionais (funcionalidades, caso de uso, história de usuário)?
</t>
        </r>
        <r>
          <rPr>
            <sz val="9"/>
            <color rgb="FF000000"/>
            <rFont val="Arial"/>
            <charset val="134"/>
          </rPr>
          <t xml:space="preserve">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r>
          <rPr>
            <b/>
            <sz val="9"/>
            <color rgb="FF000000"/>
            <rFont val="Arial"/>
            <charset val="134"/>
          </rPr>
          <t xml:space="preserve">
</t>
        </r>
      </text>
    </comment>
    <comment ref="G7" authorId="0">
      <text>
        <r>
          <rPr>
            <b/>
            <sz val="9"/>
            <color rgb="FF000000"/>
            <rFont val="Arial"/>
            <charset val="134"/>
          </rPr>
          <t xml:space="preserve">Arquilo Lógico Interno e Arquivo de Interface Externa
</t>
        </r>
        <r>
          <rPr>
            <sz val="9"/>
            <color rgb="FF000000"/>
            <rFont val="Arial"/>
            <charset val="134"/>
          </rPr>
          <t xml:space="preserve">
Registros Lógicos são subconjuntos de dados dentro de um ALI/AIE, que foram reconhecidos pelo usuário.
Um Item de Dados, por sua vez, é um campo único e não repetido. E só devem ser contados os utilizados pela aplicação em contagem.
</t>
        </r>
        <r>
          <rPr>
            <b/>
            <sz val="9"/>
            <color rgb="FF000000"/>
            <rFont val="Arial"/>
            <charset val="134"/>
          </rPr>
          <t xml:space="preserve">
Como contar as funções de dados (arquivos ou tabelas)?
</t>
        </r>
        <r>
          <rPr>
            <sz val="9"/>
            <color rgb="FF000000"/>
            <rFont val="Arial"/>
            <charset val="134"/>
          </rPr>
          <t xml:space="preserve">As tabelas/arquivos são contadas uma única vez e para o sistema todo. Portanto, deve-se verificar na tabela 1 a complexidade de cada uma e preencher as quantidades na respectiva coluna (simples, media ou complexa). A planilha calcula a contribuição em pontos.
</t>
        </r>
      </text>
    </comment>
    <comment ref="M7" authorId="0">
      <text>
        <r>
          <rPr>
            <sz val="9"/>
            <color rgb="FF000000"/>
            <rFont val="Arial"/>
            <charset val="134"/>
          </rPr>
          <t xml:space="preserve">Para se calcular o fator de ajuste, são usadas 14 características gerais dos sistemas.
Para cada uma deve-se atribuir um valor de 0 (nenhuma influência) a 5 (forte influência), dito grau ou nível de influência, que indica o quanto determinada característica tem influência no sistema.
</t>
        </r>
      </text>
    </comment>
    <comment ref="N8" authorId="0">
      <text>
        <r>
          <rPr>
            <b/>
            <sz val="9"/>
            <color rgb="FF000000"/>
            <rFont val="Arial"/>
            <charset val="134"/>
          </rPr>
          <t xml:space="preserve">Grau de Influência
</t>
        </r>
        <r>
          <rPr>
            <sz val="9"/>
            <color rgb="FF000000"/>
            <rFont val="Arial"/>
            <charset val="134"/>
          </rPr>
          <t xml:space="preserve">
0 (nenhuma influência)
5 (forte influência)</t>
        </r>
      </text>
    </comment>
    <comment ref="G9" authorId="0">
      <text>
        <r>
          <rPr>
            <b/>
            <sz val="9"/>
            <color rgb="FF000000"/>
            <rFont val="Arial"/>
            <charset val="134"/>
          </rPr>
          <t xml:space="preserve">Arquivo Lógico Interno (ALI)
</t>
        </r>
        <r>
          <rPr>
            <sz val="9"/>
            <color rgb="FF000000"/>
            <rFont val="Arial"/>
            <charset val="134"/>
          </rPr>
          <t xml:space="preserve">São arquivos/tabelas mantidas dentro da fronteira da aplicação, isto é, armazena dados mantidos através de um ou mais processos elementares da aplicação.
</t>
        </r>
      </text>
    </comment>
    <comment ref="M9" authorId="0">
      <text>
        <r>
          <rPr>
            <b/>
            <sz val="9"/>
            <color rgb="FF000000"/>
            <rFont val="Arial"/>
            <charset val="134"/>
          </rPr>
          <t xml:space="preserve">Comunicação de dados: </t>
        </r>
        <r>
          <rPr>
            <sz val="9"/>
            <color rgb="FF000000"/>
            <rFont val="Arial"/>
            <charset val="134"/>
          </rPr>
          <t xml:space="preserve">os aspectos relacionados aos recursos utilizados para a comunicação de dados do sistema deverão ser descritos de forma global. Descrever se a aplicação utiliza protocolos  diferentes para recebimento/envio das informações do sistema.
0. Aplicação batch ou funciona stand-alone;
1. Aplicação batch, mas utiliza entrada de dados ou impressão remota;
2. Aplicação batch, mas utiliza entrada de dados e impressão remota;
3. Aplicação com entrada de dados on-line para alimentar processamento batch ou
sistema de consulta;
4. Aplicação com entrada de dados on-line, mas suporta apenas um tipo de
protocolo de comunicação;
5. Aplicação com entrada de dados on-line e suporta mais de um tipo de protocolo
de comunicação.
</t>
        </r>
      </text>
    </comment>
    <comment ref="G10" authorId="0">
      <text>
        <r>
          <rPr>
            <b/>
            <sz val="9"/>
            <color rgb="FF000000"/>
            <rFont val="Arial"/>
            <charset val="134"/>
          </rPr>
          <t xml:space="preserve">Arquivos de Interface Externa (AIEs)
</t>
        </r>
        <r>
          <rPr>
            <sz val="9"/>
            <color rgb="FF000000"/>
            <rFont val="Arial"/>
            <charset val="134"/>
          </rPr>
          <t xml:space="preserve">São arquivos ou tabelas apenas referenciadas pela aplicação, ou seja, é mantido dentro da fronteira de outra aplicação. Assim, o objetivo de um AIE é armazenar os dados referenciados por um ou mais processos elementares da aplicação sendo contada, mas que são mantidos por outras aplicações.
</t>
        </r>
      </text>
    </comment>
    <comment ref="M10" authorId="0">
      <text>
        <r>
          <rPr>
            <b/>
            <sz val="9"/>
            <color rgb="FF000000"/>
            <rFont val="Arial"/>
            <charset val="134"/>
          </rPr>
          <t xml:space="preserve">Processamento de Dados Distribuído: </t>
        </r>
        <r>
          <rPr>
            <sz val="9"/>
            <color rgb="FF000000"/>
            <rFont val="Arial"/>
            <charset val="134"/>
          </rPr>
          <t xml:space="preserve">Esta característica refere-se a sistemas que
utilizam dados ou processamento distribuído, valendo-se de diversas CPUs.
0. Aplicação não auxilia na transferência de dados ou funções entre os processadores da empresa;
1. Aplicação prepara dados para o usuário final utilizar em outro processador (do usuário final), tal como planilhas;
2. Aplicação prepara dados para transferência, transfere-os para serem processados em outro equipamento da empresa (não pelo usuário final);
3. Processamento é distribuído e a transferência de dados é on-line e apenas em uma direção;
4. Processamento é distribuído e a transferência de dados é on-line e em ambas as direções;
5. As funções de processamento são dinamicamente executadas no equipamento (CPU) mais apropriada;
</t>
        </r>
      </text>
    </comment>
    <comment ref="G11" authorId="0">
      <text>
        <r>
          <rPr>
            <b/>
            <sz val="9"/>
            <color rgb="FF000000"/>
            <rFont val="Arial"/>
            <charset val="134"/>
          </rPr>
          <t xml:space="preserve">EE - Entrada externa
SE - Saída externa
CE - Consulta externa
</t>
        </r>
        <r>
          <rPr>
            <sz val="9"/>
            <color rgb="FF000000"/>
            <rFont val="Arial"/>
            <charset val="134"/>
          </rPr>
          <t xml:space="preserve">
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rgb="FF000000"/>
            <rFont val="Arial"/>
            <charset val="134"/>
          </rPr>
          <t xml:space="preserve">Como contar as funções transacionais (funcionalidades, caso de uso, história de usuário)?
</t>
        </r>
        <r>
          <rPr>
            <sz val="9"/>
            <color rgb="FF000000"/>
            <rFont val="Arial"/>
            <charset val="134"/>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
</t>
        </r>
      </text>
    </comment>
    <comment ref="M11" authorId="0">
      <text>
        <r>
          <rPr>
            <b/>
            <sz val="9"/>
            <color rgb="FF000000"/>
            <rFont val="Arial"/>
            <charset val="134"/>
          </rPr>
          <t xml:space="preserve">Desempenho: </t>
        </r>
        <r>
          <rPr>
            <sz val="9"/>
            <color rgb="FF000000"/>
            <rFont val="Arial"/>
            <charset val="134"/>
          </rPr>
          <t>Trata-se de parâmetros estabelecidos pelo usuário como aceitáveis, relativos a tempo de resposta.
0. Nenhum requisito especial de desempenho foi solicitado pelo usuário;
1. Requisitos de desempenho foram estabelecidos e revistos, mas nenhuma ação especial foi requerida;
2. Tempo de resposta e volume de processamento são itens críticos durante horários de pico de processamento. Nenhuma determinação especial para a utilização do processador foi estabelecida. A data limite para a disponibilidade de processamento é sempre o próximo dia útil;
3. Tempo de resposta e volume de processamento são itens críticos durante todo o horário comercial. Nenhuma determinação especial para a utilização do processador foi estabelecida. A data-limite necessária para a comunicação com outros sistemas é limitante.
4. Os requisitos de desempenho estabelecidos requerem tarefas de análise de desempenho na fase de planejamento e análise da aplicação.
5. Além do descrito no item anterior, ferramentas de análise de desempenho foram usadas nas fases de planejamento, desenvolvimento e/ou implementação para atingir os requisitos de desempenho estabelecidos pelos usuários.</t>
        </r>
      </text>
    </comment>
    <comment ref="G12" authorId="0">
      <text>
        <r>
          <rPr>
            <b/>
            <sz val="9"/>
            <color rgb="FF000000"/>
            <rFont val="Arial"/>
            <charset val="134"/>
          </rPr>
          <t xml:space="preserve">EE - Entrada externa
SE - Saída externa
CE - Consulta externa
</t>
        </r>
        <r>
          <rPr>
            <sz val="9"/>
            <color rgb="FF000000"/>
            <rFont val="Arial"/>
            <charset val="134"/>
          </rPr>
          <t xml:space="preserve">Registros Lógicos são subconjuntos de dados dentro de um ALI/AIE, que foram reconhecidos pelo usuário e utilizados pela função.
Um Item de Dados, por sua vez, é um campo único e não repetido. E só devem ser contados os utilizados pela aplicação em contagem.
</t>
        </r>
        <r>
          <rPr>
            <b/>
            <sz val="9"/>
            <color rgb="FF000000"/>
            <rFont val="Arial"/>
            <charset val="134"/>
          </rPr>
          <t xml:space="preserve">Como contar as funções transacionais (funcionalidades, caso de uso, história de usuário)?
</t>
        </r>
        <r>
          <rPr>
            <sz val="9"/>
            <color rgb="FF000000"/>
            <rFont val="Arial"/>
            <charset val="134"/>
          </rPr>
          <t xml:space="preserve">
Um caso de uso ou uma história de usuário, são consideradas aqui como sendo uma função transacional. Portanto, deve-se verificar na tabela 2 e 3 a complexidade de cada uma e preencher as quantidades na respectiva coluna (simples, media ou complexa). A planilha calcula a contribuição em pontos.</t>
        </r>
      </text>
    </comment>
    <comment ref="M12" authorId="0">
      <text>
        <r>
          <rPr>
            <b/>
            <sz val="9"/>
            <color rgb="FF000000"/>
            <rFont val="Arial"/>
            <charset val="134"/>
          </rPr>
          <t xml:space="preserve">Utilização do Equipamento: </t>
        </r>
        <r>
          <rPr>
            <sz val="9"/>
            <color rgb="FF000000"/>
            <rFont val="Arial"/>
            <charset val="134"/>
          </rPr>
          <t xml:space="preserve">Trata-se de observações quanto ao nível de utilização de equipamentos requerido para a execução do sistema. Este aspecto é observado com vista a planejamento de capacidades e custos.
0. Nenhuma restrição operacional explícita ou mesmo implícita foi incluída.
1. Existem restrições operacionais leves. Não é necessário esforço especial para atender às restrições.
2. Algumas considerações de ajuste de desempenho e segurança são necessárias.
3. São necessárias especificações especiais de processador para um módulo específico da aplicação.
4. Restrições operacionais requerem cuidados especiais no processador central ou no processador dedicado para executar a aplicação.
5. Além das características do item anterior, há considerações especiais que exigem utilização de ferramentas de análise de desempenho, para a distribuição do sistema e seus componentes, nas unidades processadoras.
</t>
        </r>
      </text>
    </comment>
    <comment ref="G13" authorId="0">
      <text>
        <r>
          <rPr>
            <b/>
            <sz val="9"/>
            <color rgb="FF000000"/>
            <rFont val="Arial"/>
            <charset val="134"/>
          </rPr>
          <t xml:space="preserve">Entradas Externas (EEs)
</t>
        </r>
        <r>
          <rPr>
            <sz val="9"/>
            <color rgb="FF000000"/>
            <rFont val="Arial"/>
            <charset val="134"/>
          </rPr>
          <t xml:space="preserve">São processos elementares que processam dados (ou
informações de controle) que entram pela fronteira da aplicação. O objetivo principal de uma EE é manter um ou mais ALIs ou alterar o comportamento do sistema.
</t>
        </r>
      </text>
    </comment>
    <comment ref="M13" authorId="0">
      <text>
        <r>
          <rPr>
            <b/>
            <sz val="9"/>
            <color rgb="FF000000"/>
            <rFont val="Arial"/>
            <charset val="134"/>
          </rPr>
          <t xml:space="preserve">Volume de transações: </t>
        </r>
        <r>
          <rPr>
            <sz val="9"/>
            <color rgb="FF000000"/>
            <rFont val="Arial"/>
            <charset val="134"/>
          </rPr>
          <t xml:space="preserve">Consiste na avaliação do nível de influência do volume de transações no projeto, desenvolvimento, implantação e manutenção do sistema.
0. Não estão previstos períodos de picos de volume de transação.
1. Estão previstos picos de transações mensalmente, trimestralmente, anualmente ou em certo período do ano.
2. São previstos picos semanais.
3. São previstos picos diários.
4. Alto volume de transações foi estabelecido pelo usuário, ou o tempo de resposta necessário atinge nível alto o suficiente para requerer análise de desempenho na fase de projeto.
5. Além do descrito no item anterior, é necessário utilizar ferramentas de análise de desempenho nas fases de projeto, desenvolvimento e/ou implantação.
</t>
        </r>
      </text>
    </comment>
    <comment ref="G14" authorId="0">
      <text>
        <r>
          <rPr>
            <b/>
            <sz val="9"/>
            <color rgb="FF000000"/>
            <rFont val="Arial"/>
            <charset val="134"/>
          </rPr>
          <t xml:space="preserve">Saídas Externas (SEs)
</t>
        </r>
        <r>
          <rPr>
            <sz val="9"/>
            <color rgb="FF000000"/>
            <rFont val="Arial"/>
            <charset val="134"/>
          </rPr>
          <t xml:space="preserve">
São processos elementares que enviam dados (ou informações de controle) para fora da fronteira da aplicação. Seu objetivo é mostrar informações recuperadas através de um processamento lógico (isto é, que envolva cálculos ou criação de dados derivados) e não apenas uma simples recuperação de dados. Uma SE pode, também, manter um ALI ou alterar o comportamento do sistema.
</t>
        </r>
      </text>
    </comment>
    <comment ref="M14" authorId="0">
      <text>
        <r>
          <rPr>
            <b/>
            <sz val="9"/>
            <color rgb="FF000000"/>
            <rFont val="Arial"/>
            <charset val="134"/>
          </rPr>
          <t xml:space="preserve">Entrada de dados on-line: </t>
        </r>
        <r>
          <rPr>
            <sz val="9"/>
            <color rgb="FF000000"/>
            <rFont val="Arial"/>
            <charset val="134"/>
          </rPr>
          <t xml:space="preserve">A análise desta característica permite quantificar o nível de influência exercida pela utilização de entrada de dados no modo on-line no sistema.
0. Todas as transações são processadas em modo batch.
1. De 1% a 7% das transações são entradas de dados on-line.
2. De 8% a 15% das transações são entradas de dados on-line.
3. De 16% a 23% das transações são entradas de dados on-line.
4. De 24% a 30% das transações são entradas de dados on-line.
5. Mais de 30% das transações são entradas de dados on-line.
</t>
        </r>
      </text>
    </comment>
    <comment ref="G15" authorId="0">
      <text>
        <r>
          <rPr>
            <b/>
            <sz val="9"/>
            <color rgb="FF000000"/>
            <rFont val="Arial"/>
            <charset val="134"/>
          </rPr>
          <t xml:space="preserve">Consulta Externa (CE)
</t>
        </r>
        <r>
          <rPr>
            <sz val="9"/>
            <color rgb="FF000000"/>
            <rFont val="Arial"/>
            <charset val="134"/>
          </rPr>
          <t xml:space="preserve">Assim como uma SE, é um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
</t>
        </r>
      </text>
    </comment>
    <comment ref="M15" authorId="0">
      <text>
        <r>
          <rPr>
            <b/>
            <sz val="9"/>
            <color rgb="FF000000"/>
            <rFont val="Arial"/>
            <charset val="134"/>
          </rPr>
          <t xml:space="preserve">Usabilidade: </t>
        </r>
        <r>
          <rPr>
            <sz val="9"/>
            <color rgb="FF000000"/>
            <rFont val="Arial"/>
            <charset val="134"/>
          </rPr>
          <t xml:space="preserve">a análise desta característica permite quantificar o grau de influência relativo aos recursos implementados com vista a tornar o sistema amigável, permitindo incrementos na eficiência e satisfação do usuário final, tais como:
• Auxílio à navegação (teclas de função, acesso direto e menus dinâmicos)
• Menus Documentação e help on-line
• Movimento automático do cursor.
• Movimento horizontal e vertical de tela.
• Impressão remota (via transações on-line)
• Teclas de função preestabelecidas.
• Processos batch submetidos a partir de transações on-line
• Utilização intensa de campos com vídeo reverso, intensificados, sublinhados, coloridos e outros indicadores.
• Impressão da documentação das transações on-line através de hard copy
• Utilização de mouse
• Menus pop-up
• O menor número possível de telas para executar as funções de negócio.
• Suporte bilingüe (contar como 4 itens)
• Suporte multilíngüe. (contar como 6 itens)
0. Nenhum dos itens descritos.
1. De um a três itens descritos.
2. De quatro a cinco dos itens descritos.
3. Mais de cinco dos itens descritos, mas não há requisitos específicos do usuário quanto a usabilidade do sistema.
4. Mais de cinco dos itens descritos e foram estabelecidos requisitos quanto à usabilidade fortes o suficiente para gerarem atividades específicas envolvendo fatores, tais como minimização da digitação, para mostrar inicialmente os valores utilizados com mais freqüência.
5. Mais de cinco dos itens descritos e foram estabelecidos requisitos quanto à usabilidade fortes o suficiente para requerer ferramentas e processos especiais para demonstrar antecipadamente que os objetivos foram alcançados.
</t>
        </r>
      </text>
    </comment>
    <comment ref="M16" authorId="0">
      <text>
        <r>
          <rPr>
            <b/>
            <sz val="9"/>
            <color rgb="FF000000"/>
            <rFont val="Arial"/>
            <charset val="134"/>
          </rPr>
          <t xml:space="preserve">Atualizações on-line: </t>
        </r>
        <r>
          <rPr>
            <sz val="9"/>
            <color rgb="FF000000"/>
            <rFont val="Arial"/>
            <charset val="134"/>
          </rPr>
          <t xml:space="preserve">Mede a influência no desenvolvimento do sistema face à utilização de recursos que visem a atualização dos Arquivos Lógicos Internos, no modo online.
0. Nenhuma.
1. Atualização on-line de um a três arquivos lógicos internos. O volume de atualização é baixo e a recuperação de dados é simples.
2. Atualização on-line de mais de três arquivos lógicos internos. O volume de atualização é baixo e a recuperação dos dados é simples.
3. Atualização on-line da maioria dos arquivos lógicos internos.
4. Em adição ao item anterior, é necessário proteção contra perdas de dados que foi projetada e programada no sistema.
5. Além do item anterior, altos volumes trazem considerações de custo no processo de recuperação. Processos para automatizar a recuperação foram incluídos minimizando a intervenção do operador.
</t>
        </r>
      </text>
    </comment>
    <comment ref="M17" authorId="0">
      <text>
        <r>
          <rPr>
            <b/>
            <sz val="9"/>
            <color rgb="FF000000"/>
            <rFont val="Arial"/>
            <charset val="134"/>
          </rPr>
          <t>Processamento complexo:</t>
        </r>
        <r>
          <rPr>
            <sz val="9"/>
            <color rgb="FF000000"/>
            <rFont val="Arial"/>
            <charset val="134"/>
          </rPr>
          <t xml:space="preserve"> a complexidade de processamento influencia no dimensionamento do sistema, e, portanto, deve ser quantificado o seu grau de influência, com base nas seguintes categorias:
• Processamento especial de auditoria e/ou processamento especial de segurança foram considerados na aplicação;
• Processamento lógico extensivo;
• Processamento matemático extensivo;
• Processamento gerando muitas exceções, resultando em transações incompletas que devem ser processadas novamente. Exemplo: transações de autoatendimento bancário interrompidas por problemas de comunicação ou com dados incompletos;
• Processamento complexo para manusear múltiplas possibilidades de entrada/saída. Exemplo: multimídia.
0. Nenhum dos itens descritos.
1. Apenas um dos itens descritos.
2. Dois dos itens descritos.
3. Três dos itens descritos.
4. Quatro dos itens descritos.
5. Todos os cinco itens descritos.
</t>
        </r>
      </text>
    </comment>
    <comment ref="M18" authorId="0">
      <text>
        <r>
          <rPr>
            <b/>
            <sz val="9"/>
            <color rgb="FF000000"/>
            <rFont val="Arial"/>
            <charset val="134"/>
          </rPr>
          <t xml:space="preserve">Reusabilidade: </t>
        </r>
        <r>
          <rPr>
            <sz val="9"/>
            <color rgb="FF000000"/>
            <rFont val="Arial"/>
            <charset val="134"/>
          </rPr>
          <t xml:space="preserve">a preocupação com o reaproveitamento de parte dos programas de uma aplicação em outras aplicações implica em cuidados com padronização. O grau de influência no dimensionamento do sistema é quantificado observando-se os seguintes aspectos:
0. Nenhuma preocupação com reutilização de código.
1. Código reutilizado foi usado somente dentro da aplicação.
2. Menos de 10% da aplicação foi projetada prevendo utilização posterior do código por outra aplicação.
3. 10% ou mais da aplicação foi projetada prevendo utilização posterior do código por outra aplicação.
4. A aplicação foi especificamente projetada e/ou documentada para ter seu código reutilizado por outra aplicação e a aplicação é customizada pelo usuário em nível de código -fonte.
5. A aplicação foi especificamente projetada e/ou documentada para ter seu código facilmente reutilizado por outra aplicação e a aplicação é customizada para uso através de parâmetros que podem ser alterados pelo usuário.
</t>
        </r>
      </text>
    </comment>
    <comment ref="M19" authorId="0">
      <text>
        <r>
          <rPr>
            <b/>
            <sz val="9"/>
            <color rgb="FF000000"/>
            <rFont val="Arial"/>
            <charset val="134"/>
          </rPr>
          <t>Facilidade de implantação:</t>
        </r>
        <r>
          <rPr>
            <sz val="9"/>
            <color rgb="FF000000"/>
            <rFont val="Arial"/>
            <charset val="134"/>
          </rPr>
          <t xml:space="preserve"> a quantificação do grau de influência desta característica é feita, observando-se o plano de conversão e implantação e/ou ferramentas utilizadas durante a fase de testes do sistema.
0. Nenhuma consideração especial foi estabelecida pelo usuário e nenhum procedimento especial é requerido na implantação.
1. Nenhuma consideração especial foi estabelecida pelo usuário, mas procedimentos especiais são necessários na implementação.
2. Requisitos de conversão e implantação foram estabelecidos pelo usuário e roteiro de conversão e implantação foram providos e testados. O impacto da conversão no projeto não é considerado importante.
3. Requisitos de conversão e implantação foram estabelecidos pelo usuário e roteiro de conversão e implantação foram providos e testados. O impacto da conversão no projeto é considerado importante.
4. Além do item 2, conversão automática e ferramentas de implantação foram providas e testadas.
5. Além do item 3, conversão automática e ferramentas de implantação foram providas e testadas.
</t>
        </r>
      </text>
    </comment>
    <comment ref="M20" authorId="0">
      <text>
        <r>
          <rPr>
            <b/>
            <sz val="9"/>
            <color rgb="FF000000"/>
            <rFont val="Arial"/>
            <charset val="134"/>
          </rPr>
          <t xml:space="preserve">Facilidade operacional: </t>
        </r>
        <r>
          <rPr>
            <sz val="9"/>
            <color rgb="FF000000"/>
            <rFont val="Arial"/>
            <charset val="134"/>
          </rPr>
          <t xml:space="preserve">a análise desta característica permite quantificar o nível de influência na aplicação, com relação a procedimentos operacionais automáticos que reduzem os procedimentos manuais, bem como mecanismos de inicialização, salvamento e recuperação, verificados durante os testes do sistema.
0. Nenhuma consideração especial de operação, além do processo normal de salvamento foi estabelecida pelo usuário.
1-4. Verifique quais das seguintes afirmativas podem ser identificadas na aplicação. Selecione as que forem aplicadas. Cada item vale um ponto, exceto se definido explicitamente:
• Foram desenvolvidos processos de inicialização, salvamento e recuperação, mas a intervenção do operador é necessária.
• Foram estabelecidos processos de inicialização, salvamento e recuperação, e nenhuma intervenção do operador é necessária (conte como dois itens)
• A aplicação minimiza a necessidade de montar fitas magnéticas.
• A aplicação minimiza a necessidade de manuseio de papel.
5. A aplicação foi desenhada para trabalhar sem operador, nenhuma intervenção do operador é necessária para operar o sistema além de executar e encerrar a aplicação. A aplicação possui rotinas automáticas para recuperação em caso de erro.
</t>
        </r>
      </text>
    </comment>
    <comment ref="M21" authorId="0">
      <text>
        <r>
          <rPr>
            <b/>
            <sz val="9"/>
            <color rgb="FF000000"/>
            <rFont val="Arial"/>
            <charset val="134"/>
          </rPr>
          <t xml:space="preserve">Múltiplos Locais e Organizações do Usuário: </t>
        </r>
        <r>
          <rPr>
            <sz val="9"/>
            <color rgb="FF000000"/>
            <rFont val="Arial"/>
            <charset val="134"/>
          </rPr>
          <t xml:space="preserve">consiste na análise da arquitetura do projeto, observando-se a necessidade de instalação do sistema em diversos lugares.
0. Os requisitos do usuário não consideraram a necessidade de instalação em mais de um local.
1. A necessidade de múltiplos locais foi considerada no projeto e a aplicação foi desenhada para operar apenas em ambientes de software e hardware idênticos.
2. A necessidade de múltiplos locais foi considerada no projeto e a aplicação está preparada para trabalhar apenas em ambientes similares de software e hardware.
3. A necessidade de múltiplos locais foi considerada no projeto e a aplicação está preparada para trabalhar em diferentes ambientes de hardware e/ou software.
4. Plano de documentação e manutenção foram providos e testados para suportar a aplicação em múltiplos locais, além disso, os itens 1 ou 2 caracterizam a aplicação.
5. Plano de documentação e manutenção foram providos e testados para suportar a aplicação em múltiplos locais, além disso, o item 3 caracteriza a aplicação.
</t>
        </r>
      </text>
    </comment>
    <comment ref="M22" authorId="0">
      <text>
        <r>
          <rPr>
            <b/>
            <sz val="9"/>
            <color rgb="FF000000"/>
            <rFont val="Arial"/>
            <charset val="134"/>
          </rPr>
          <t xml:space="preserve"> Facilidade de mudanças: </t>
        </r>
        <r>
          <rPr>
            <sz val="9"/>
            <color rgb="FF000000"/>
            <rFont val="Arial"/>
            <charset val="134"/>
          </rPr>
          <t xml:space="preserve">focaliza a preocupação com a influencia da manutenção no desenvolvimento do sistema. Esta influência deve ser quantificada baseando na observação de atributos, tais como:
• disponibilidade de facilidades como consultas e relatórios flexíveis para atender necessidades simples (conte como 1 item);
• disponibilidade de facilidades como consultas e relatórios flexíveis para atender necessidades de complexidade média (conte como 2 itens);
• disponibilidade de facilidades como consultas e relatórios flexíveis para atender necessidades complexas (conte 3 itens);
• se os dados de controle são armazenados em tabelas que são mantidas pelo usuário através de processos on-line, mas mudanças têm efeitos somente no dia seguinte;
• se os dados de controle são armazenados em tabelas que são mantidas pelo usuário através de processos on-line, as mudanças têm efeito imediatamente (conte como 2 itens).
0. Nenhum dos itens descritos.
1. Um dos itens descritos.
2. Dois dos itens descritos.
3. Três dos itens descritos.
4. Quatro dos itens descritos.
5. Todos os cinco itens descritos.
</t>
        </r>
      </text>
    </comment>
  </commentList>
</comments>
</file>

<file path=xl/comments6.xml><?xml version="1.0" encoding="utf-8"?>
<comments xmlns="http://schemas.openxmlformats.org/spreadsheetml/2006/main">
  <authors>
    <author>EM</author>
  </authors>
  <commentList>
    <comment ref="A3" authorId="0">
      <text>
        <r>
          <rPr>
            <sz val="9"/>
            <color rgb="FF000000"/>
            <rFont val="Segoe UI"/>
            <charset val="134"/>
          </rPr>
          <t>Considerando a estimativa e capacidade da equipe sugere-se o seguinte plajenamento.</t>
        </r>
      </text>
    </comment>
  </commentList>
</comments>
</file>

<file path=xl/sharedStrings.xml><?xml version="1.0" encoding="utf-8"?>
<sst xmlns="http://schemas.openxmlformats.org/spreadsheetml/2006/main" count="320" uniqueCount="231">
  <si>
    <t>Equipe</t>
  </si>
  <si>
    <t>IFSP_Anote</t>
  </si>
  <si>
    <t>Papel</t>
  </si>
  <si>
    <t>Nome</t>
  </si>
  <si>
    <t>E-mail</t>
  </si>
  <si>
    <t>Scrum Master</t>
  </si>
  <si>
    <t>Pedro</t>
  </si>
  <si>
    <t>Owner</t>
  </si>
  <si>
    <t>Gabriel</t>
  </si>
  <si>
    <t>Desenvolvedor</t>
  </si>
  <si>
    <t>Sahel</t>
  </si>
  <si>
    <t>Guilherme</t>
  </si>
  <si>
    <t>Aline</t>
  </si>
  <si>
    <t>Backlog do Produto</t>
  </si>
  <si>
    <t>Priorização VRDC</t>
  </si>
  <si>
    <t>Este Backlog é uma sugestão de tarefas baseado nas tarefas do SpinOff , mas pode ser complementado com outras tarefas que forem necessárias para a execução do projeto.
Desse modo, basta inserir os casos de uso/histórias específicos do projeto.</t>
  </si>
  <si>
    <t>A priorização é importante para saber o que entregar primeiro ou desenvolver primeiro. O Owner ou o próprio cliente são importantes nessa decisão. Isso vai ajudar a planejar os Sprints.</t>
  </si>
  <si>
    <t>Id</t>
  </si>
  <si>
    <t>Fases</t>
  </si>
  <si>
    <t>Tarefas (Casos de Uso/Histórias de Usuário/Tarefas do Processo/Outras Tarefas)</t>
  </si>
  <si>
    <t>Estimativa</t>
  </si>
  <si>
    <t>Casos de Uso ou Histórias de Usuário</t>
  </si>
  <si>
    <t>Iniciação</t>
  </si>
  <si>
    <t>Horas</t>
  </si>
  <si>
    <t>Seq.</t>
  </si>
  <si>
    <t>Descrição</t>
  </si>
  <si>
    <t>Valor</t>
  </si>
  <si>
    <t>Risco</t>
  </si>
  <si>
    <t>Dependência</t>
  </si>
  <si>
    <t>Complexidade Técnica</t>
  </si>
  <si>
    <t>Prioridade</t>
  </si>
  <si>
    <t>Realizar o pré-projeto</t>
  </si>
  <si>
    <t>UC Usuario</t>
  </si>
  <si>
    <t>Criar ambiente do projeto</t>
  </si>
  <si>
    <t>UC Caderno</t>
  </si>
  <si>
    <t>Definir escopo</t>
  </si>
  <si>
    <t>UC Anotacao</t>
  </si>
  <si>
    <t>Planejar o projeto</t>
  </si>
  <si>
    <t>Aplicar Checlist da fase</t>
  </si>
  <si>
    <t>Revisar planejamento</t>
  </si>
  <si>
    <t>Elaboração</t>
  </si>
  <si>
    <t>Planejar o Sprint</t>
  </si>
  <si>
    <t>Preparar Ambiente de Desenvolvimento</t>
  </si>
  <si>
    <t>Modelar, Analisar e Projetar  UC Usuario</t>
  </si>
  <si>
    <t>Modelar, implementar e testar a arquitetura</t>
  </si>
  <si>
    <t>Criar Guia de Implementação</t>
  </si>
  <si>
    <t>Aplicar Checklist da fase</t>
  </si>
  <si>
    <t>Revisar Planejamento</t>
  </si>
  <si>
    <t>Construção</t>
  </si>
  <si>
    <t>Modelar, Implementart e Testar o UC Caderno</t>
  </si>
  <si>
    <t>Modelar, Implementart e Testar o UC Anotacao</t>
  </si>
  <si>
    <t>Transição</t>
  </si>
  <si>
    <t>Projetar Testes de Sistema</t>
  </si>
  <si>
    <t>Executar Testes de Sistema</t>
  </si>
  <si>
    <t>Corrigir Defeitos</t>
  </si>
  <si>
    <t>Planejar Implantação (criar Guia de Implantação)</t>
  </si>
  <si>
    <t>Preparar Ambiente de Produção</t>
  </si>
  <si>
    <t>Implantar o Produto no Ambiente de Produção</t>
  </si>
  <si>
    <t>Esta planilha deve ser utilizada como sugestão ou base para o planejamento inicial</t>
  </si>
  <si>
    <t>Planejamento Estimado</t>
  </si>
  <si>
    <t>Esforço total estimado (Planilha Estimativa)</t>
  </si>
  <si>
    <t>horas</t>
  </si>
  <si>
    <t>Ajuste base histórica (margem de erro da estimativa)</t>
  </si>
  <si>
    <t>% de erro de estimativa</t>
  </si>
  <si>
    <t xml:space="preserve"> </t>
  </si>
  <si>
    <t>Qde desenvolvedores</t>
  </si>
  <si>
    <t>Jornada de trabalho semanal por desenvolvedor</t>
  </si>
  <si>
    <t>Capacidade do Time por Sprint</t>
  </si>
  <si>
    <t>Número de SPRINTs (sprint = 2 semanas)</t>
  </si>
  <si>
    <t>sprints</t>
  </si>
  <si>
    <t>Esforço total</t>
  </si>
  <si>
    <t>Prazo em semanas</t>
  </si>
  <si>
    <t>semanas</t>
  </si>
  <si>
    <t>Prazo em meses</t>
  </si>
  <si>
    <t>meses</t>
  </si>
  <si>
    <t>Análise Financeira</t>
  </si>
  <si>
    <t>Valor hora média desenvolvedor</t>
  </si>
  <si>
    <t>Custo direto</t>
  </si>
  <si>
    <t>Percentual do custo indireto</t>
  </si>
  <si>
    <t>Custo indireto</t>
  </si>
  <si>
    <t>Custo</t>
  </si>
  <si>
    <t>Percentual de lucro desejado</t>
  </si>
  <si>
    <t>Valor lucro</t>
  </si>
  <si>
    <t>Preço</t>
  </si>
  <si>
    <t>Monitoramento e Controle do Projeto (Plano de Entregas)</t>
  </si>
  <si>
    <t>Carga Horária Total</t>
  </si>
  <si>
    <t>PREVISTO</t>
  </si>
  <si>
    <t>REALIZADO</t>
  </si>
  <si>
    <t>Sprint</t>
  </si>
  <si>
    <t>Produtos</t>
  </si>
  <si>
    <t>Data Início</t>
  </si>
  <si>
    <t>Data Fim</t>
  </si>
  <si>
    <t>Status</t>
  </si>
  <si>
    <t>Data Término</t>
  </si>
  <si>
    <t>Diferença (hs)</t>
  </si>
  <si>
    <t>Versão</t>
  </si>
  <si>
    <t>Visão, modelo de caso de uso e plano do projeto</t>
  </si>
  <si>
    <t>Entregue</t>
  </si>
  <si>
    <t>Release-9.9.9</t>
  </si>
  <si>
    <t>UC XXX</t>
  </si>
  <si>
    <t>Planejado</t>
  </si>
  <si>
    <t>UC YYY, UC WWW,</t>
  </si>
  <si>
    <t>Lista de Riscos</t>
  </si>
  <si>
    <t>Categorias</t>
  </si>
  <si>
    <t>Gestão - Organização</t>
  </si>
  <si>
    <t>Gestão - Orçamento</t>
  </si>
  <si>
    <t>Gestão - Prazo</t>
  </si>
  <si>
    <t>Gestão - Recursos Humanos</t>
  </si>
  <si>
    <t>Gestão - Processo</t>
  </si>
  <si>
    <t>Gestão - Ambiente</t>
  </si>
  <si>
    <t>Técnico - Requisitos</t>
  </si>
  <si>
    <t>Técnico - Tecnologia</t>
  </si>
  <si>
    <t>Externo - Cliente</t>
  </si>
  <si>
    <t>Externo - Subcontratação</t>
  </si>
  <si>
    <t>Probabilidade/Perda Esperada</t>
  </si>
  <si>
    <t>Baixa</t>
  </si>
  <si>
    <t>Média</t>
  </si>
  <si>
    <t>Alta</t>
  </si>
  <si>
    <t>Impacto</t>
  </si>
  <si>
    <t>Baixo</t>
  </si>
  <si>
    <t>Médio</t>
  </si>
  <si>
    <t>Alto</t>
  </si>
  <si>
    <t>Situação</t>
  </si>
  <si>
    <t>Ativo</t>
  </si>
  <si>
    <t>Em Mitigação</t>
  </si>
  <si>
    <t>Ocorrido</t>
  </si>
  <si>
    <t>Inativo</t>
  </si>
  <si>
    <t>Estratégia</t>
  </si>
  <si>
    <t>Eliminação</t>
  </si>
  <si>
    <t>Transferência</t>
  </si>
  <si>
    <t>Mitigação</t>
  </si>
  <si>
    <t>Aceitação ativa</t>
  </si>
  <si>
    <t>Aceitação passiva</t>
  </si>
  <si>
    <t>Valores Perda Esperada</t>
  </si>
  <si>
    <t>Baixo &amp; Alto</t>
  </si>
  <si>
    <t>Baixo &amp; Medio</t>
  </si>
  <si>
    <t>Baixo &amp; Baixo</t>
  </si>
  <si>
    <t>Médio &amp; Médio</t>
  </si>
  <si>
    <t>Médio &amp; Alto</t>
  </si>
  <si>
    <t>Alto &amp; Alto</t>
  </si>
  <si>
    <t>Instruções de Preenchimento</t>
  </si>
  <si>
    <r>
      <rPr>
        <sz val="8"/>
        <color rgb="FF000000"/>
        <rFont val="Arial"/>
        <charset val="134"/>
      </rPr>
      <t xml:space="preserve">As colunas em amarelo escuro são prenchidas durante a </t>
    </r>
    <r>
      <rPr>
        <b/>
        <sz val="8"/>
        <color rgb="FF000000"/>
        <rFont val="Arial"/>
        <charset val="134"/>
      </rPr>
      <t>identificação</t>
    </r>
    <r>
      <rPr>
        <sz val="8"/>
        <color rgb="FF000000"/>
        <rFont val="Arial"/>
        <charset val="134"/>
      </rPr>
      <t xml:space="preserve"> do risco e normalmente não são alteradas durante a execução do projeto.</t>
    </r>
  </si>
  <si>
    <t>As colunas em amarelo claro são preenchidas durante a avaliação qualitativa dos riscos e periodicamente revisadas durante as reuniões de revisão do processo.</t>
  </si>
  <si>
    <r>
      <rPr>
        <sz val="8"/>
        <color rgb="FF000000"/>
        <rFont val="Arial"/>
        <charset val="134"/>
      </rPr>
      <t xml:space="preserve">As células em branco contém fórmulas e </t>
    </r>
    <r>
      <rPr>
        <b/>
        <sz val="8"/>
        <color rgb="FF000000"/>
        <rFont val="Arial"/>
        <charset val="134"/>
      </rPr>
      <t>não devem ser editadas</t>
    </r>
  </si>
  <si>
    <t>Riscos do Projeto</t>
  </si>
  <si>
    <t>ID</t>
  </si>
  <si>
    <t>Identificação</t>
  </si>
  <si>
    <t>Descrição do Risco</t>
  </si>
  <si>
    <t>Data</t>
  </si>
  <si>
    <t>Probabilidade</t>
  </si>
  <si>
    <t>Perda Esperada</t>
  </si>
  <si>
    <t>Estratégia de Resposta</t>
  </si>
  <si>
    <t>Plano de Eliminação</t>
  </si>
  <si>
    <t>Plano de Mitigação</t>
  </si>
  <si>
    <t>Plano de Contingência</t>
  </si>
  <si>
    <t>Atrasar a entrega do sistema</t>
  </si>
  <si>
    <t>1. Executar horas-extras
2. Contratar mais pessoas
3. Renegociar prazo final</t>
  </si>
  <si>
    <t>APF (Método de estimativa de tamanho de sistema)</t>
  </si>
  <si>
    <r>
      <rPr>
        <sz val="9"/>
        <color rgb="FF000000"/>
        <rFont val="Arial"/>
        <charset val="134"/>
      </rPr>
      <t xml:space="preserve">As colunas em amarelo escuro são prenchidas durante a </t>
    </r>
    <r>
      <rPr>
        <b/>
        <sz val="9"/>
        <color rgb="FF000000"/>
        <rFont val="Arial"/>
        <charset val="134"/>
      </rPr>
      <t>contagem</t>
    </r>
    <r>
      <rPr>
        <sz val="9"/>
        <color rgb="FF000000"/>
        <rFont val="Arial"/>
        <charset val="134"/>
      </rPr>
      <t xml:space="preserve"> e normalmente não são alteradas durante a execução do projeto.</t>
    </r>
  </si>
  <si>
    <t>As colunas em amarelo claro são preenchidas durante</t>
  </si>
  <si>
    <r>
      <rPr>
        <sz val="9"/>
        <color rgb="FF000000"/>
        <rFont val="Arial"/>
        <charset val="134"/>
      </rPr>
      <t xml:space="preserve">As células em branco contém fórmulas e </t>
    </r>
    <r>
      <rPr>
        <b/>
        <sz val="9"/>
        <color rgb="FF000000"/>
        <rFont val="Arial"/>
        <charset val="134"/>
      </rPr>
      <t>não devem ser editadas</t>
    </r>
  </si>
  <si>
    <t>Funções de Dados (Arquivo/Tabela)</t>
  </si>
  <si>
    <t>Funções de Transacionais (caso de uso/história)</t>
  </si>
  <si>
    <t>Funções de Dados</t>
  </si>
  <si>
    <t>Fator de Ajuste</t>
  </si>
  <si>
    <t>Arquivos/Tabelas</t>
  </si>
  <si>
    <t>Complexidade</t>
  </si>
  <si>
    <t>Caso de Uso/História</t>
  </si>
  <si>
    <t>Tipo de Função</t>
  </si>
  <si>
    <t>Simples</t>
  </si>
  <si>
    <t>Complexa</t>
  </si>
  <si>
    <t>Contribuição</t>
  </si>
  <si>
    <t>Características do sistema</t>
  </si>
  <si>
    <t>GI</t>
  </si>
  <si>
    <t>Cliente</t>
  </si>
  <si>
    <t>Manter Cliente</t>
  </si>
  <si>
    <t>ALI</t>
  </si>
  <si>
    <t>Comunicação de Dados</t>
  </si>
  <si>
    <t>Endereço</t>
  </si>
  <si>
    <t>AIE</t>
  </si>
  <si>
    <t>Processamento de Dados Distribuído</t>
  </si>
  <si>
    <t>Funções Transacionais</t>
  </si>
  <si>
    <t>Desempenho</t>
  </si>
  <si>
    <t>Utilização de Equipamento</t>
  </si>
  <si>
    <t>EE</t>
  </si>
  <si>
    <t>Volume de Transações</t>
  </si>
  <si>
    <t>x</t>
  </si>
  <si>
    <t>SE</t>
  </si>
  <si>
    <t>Entrada de Dados On-line</t>
  </si>
  <si>
    <t>CE</t>
  </si>
  <si>
    <t>Usabilidade</t>
  </si>
  <si>
    <t>PFNA - Pontos de Função Não Ajustados:</t>
  </si>
  <si>
    <t>Atualização On-line</t>
  </si>
  <si>
    <t>Processamento Complexo</t>
  </si>
  <si>
    <t>Reusabilidade</t>
  </si>
  <si>
    <t>Facilidade de Implantação</t>
  </si>
  <si>
    <t>Facilidade Operacional</t>
  </si>
  <si>
    <t>Múltiplos Locais e Organizações do Usuário</t>
  </si>
  <si>
    <t>Manutenibilidade</t>
  </si>
  <si>
    <t>NIT - Nível de Influência Total:</t>
  </si>
  <si>
    <t>VFA - Valor do Fator de Ajuste:</t>
  </si>
  <si>
    <t>PFA - Pontos de Função Ajustados:</t>
  </si>
  <si>
    <t>Produtividade da Tecnologia Escolhida (hs/pto):</t>
  </si>
  <si>
    <t>Esforço estimado (Horas):</t>
  </si>
  <si>
    <t>Estimativa de distribuição de esforço por Fase (horas)</t>
  </si>
  <si>
    <t>Esforço total estimado</t>
  </si>
  <si>
    <t>DISCIPLINAS</t>
  </si>
  <si>
    <t>% de erro</t>
  </si>
  <si>
    <t>Totais/Disciplina</t>
  </si>
  <si>
    <t>Esforço total ajustado</t>
  </si>
  <si>
    <t>Qde de pessoas (Desenvolvedores)</t>
  </si>
  <si>
    <t>Requisitos</t>
  </si>
  <si>
    <r>
      <rPr>
        <sz val="11"/>
        <color rgb="FF000000"/>
        <rFont val="Calibri"/>
        <charset val="134"/>
      </rPr>
      <t xml:space="preserve">Jornada de trabalho </t>
    </r>
    <r>
      <rPr>
        <b/>
        <sz val="11"/>
        <color rgb="FF000000"/>
        <rFont val="Calibri"/>
        <charset val="134"/>
      </rPr>
      <t>(semanal</t>
    </r>
    <r>
      <rPr>
        <sz val="11"/>
        <color rgb="FF000000"/>
        <rFont val="Calibri"/>
        <charset val="134"/>
      </rPr>
      <t xml:space="preserve"> por desenvolvedor)</t>
    </r>
  </si>
  <si>
    <t>horas/semana</t>
  </si>
  <si>
    <t>Análise e Design</t>
  </si>
  <si>
    <t>Número de semanas por sprint</t>
  </si>
  <si>
    <t>Implementação</t>
  </si>
  <si>
    <t>Capacidade estimada do time/sprint</t>
  </si>
  <si>
    <t>Teste</t>
  </si>
  <si>
    <t>Qde de semanas estimada</t>
  </si>
  <si>
    <t>Implantação</t>
  </si>
  <si>
    <t>Qde de meses estimada</t>
  </si>
  <si>
    <t>Desenvolvimento</t>
  </si>
  <si>
    <t>Qde de Sprints sugerido</t>
  </si>
  <si>
    <t>Sprints</t>
  </si>
  <si>
    <t>Gerenciamento de Configuração</t>
  </si>
  <si>
    <t>Gerenciamento de Projeto</t>
  </si>
  <si>
    <t>Gerenciamento do Projeto</t>
  </si>
  <si>
    <t>Totais/Fase</t>
  </si>
  <si>
    <t>Custo total</t>
  </si>
  <si>
    <t>Preço final</t>
  </si>
</sst>
</file>

<file path=xl/styles.xml><?xml version="1.0" encoding="utf-8"?>
<styleSheet xmlns="http://schemas.openxmlformats.org/spreadsheetml/2006/main" xmlns:mc="http://schemas.openxmlformats.org/markup-compatibility/2006" xmlns:xr9="http://schemas.microsoft.com/office/spreadsheetml/2016/revision9" mc:Ignorable="xr9">
  <numFmts count="14">
    <numFmt numFmtId="176" formatCode="_-* #,##0.00_-;\-* #,##0.00_-;_-* &quot;-&quot;??_-;_-@_-"/>
    <numFmt numFmtId="177" formatCode="_-&quot;R$&quot;\ * #,##0.00_-;\-&quot;R$&quot;\ * #,##0.00_-;_-&quot;R$&quot;\ * &quot;-&quot;??_-;_-@_-"/>
    <numFmt numFmtId="178" formatCode="_-* #,##0_-;\-* #,##0_-;_-* &quot;-&quot;_-;_-@_-"/>
    <numFmt numFmtId="179" formatCode="_-&quot;R$&quot;\ * #,##0_-;\-&quot;R$&quot;\ * #,##0_-;_-&quot;R$&quot;\ * &quot;-&quot;_-;_-@_-"/>
    <numFmt numFmtId="180" formatCode="#,##0.00&quot; &quot;;&quot;-&quot;#,##0.00&quot; &quot;;&quot; -&quot;#&quot; &quot;;@&quot; &quot;"/>
    <numFmt numFmtId="181" formatCode="&quot; R$ &quot;#,##0.00&quot; &quot;;&quot;-R$ &quot;#,##0.00&quot; &quot;;&quot; R$ -&quot;#&quot; &quot;;@&quot; &quot;"/>
    <numFmt numFmtId="182" formatCode="[$-416]General"/>
    <numFmt numFmtId="183" formatCode="[$-416]0%"/>
    <numFmt numFmtId="184" formatCode="[$R$-416]&quot; &quot;#,##0.00;[Red]&quot;-&quot;[$R$-416]&quot; &quot;#,##0.00"/>
    <numFmt numFmtId="185" formatCode="[$-416]0"/>
    <numFmt numFmtId="186" formatCode="d/m/yy"/>
    <numFmt numFmtId="187" formatCode="[$-416]d/m/yyyy"/>
    <numFmt numFmtId="188" formatCode="#,##0.0&quot; &quot;;&quot;-&quot;#,##0.0&quot; &quot;;&quot; -&quot;#&quot; &quot;;@&quot; &quot;"/>
    <numFmt numFmtId="189" formatCode="#,##0&quot; &quot;;&quot;-&quot;#,##0&quot; &quot;;&quot; -&quot;#&quot; &quot;;@&quot; &quot;"/>
  </numFmts>
  <fonts count="58">
    <font>
      <sz val="11"/>
      <color rgb="FF000000"/>
      <name val="Arial"/>
      <charset val="134"/>
    </font>
    <font>
      <sz val="11"/>
      <color rgb="FF000000"/>
      <name val="Calibri"/>
      <charset val="134"/>
    </font>
    <font>
      <b/>
      <sz val="16"/>
      <color rgb="FFFFFFFF"/>
      <name val="Calibri"/>
      <charset val="134"/>
    </font>
    <font>
      <b/>
      <sz val="14"/>
      <color rgb="FFFFFFFF"/>
      <name val="Calibri"/>
      <charset val="134"/>
    </font>
    <font>
      <b/>
      <sz val="11"/>
      <color rgb="FF000000"/>
      <name val="Calibri"/>
      <charset val="134"/>
    </font>
    <font>
      <b/>
      <sz val="10"/>
      <color rgb="FF000000"/>
      <name val="Calibri"/>
      <charset val="134"/>
    </font>
    <font>
      <sz val="10"/>
      <color rgb="FF000000"/>
      <name val="Calibri"/>
      <charset val="134"/>
    </font>
    <font>
      <b/>
      <sz val="12"/>
      <color rgb="FFFFFFFF"/>
      <name val="Calibri"/>
      <charset val="134"/>
    </font>
    <font>
      <b/>
      <sz val="14"/>
      <color rgb="FF000000"/>
      <name val="Calibri"/>
      <charset val="134"/>
    </font>
    <font>
      <sz val="14"/>
      <color rgb="FF000000"/>
      <name val="Calibri"/>
      <charset val="134"/>
    </font>
    <font>
      <b/>
      <sz val="12"/>
      <color rgb="FF000000"/>
      <name val="Calibri"/>
      <charset val="134"/>
    </font>
    <font>
      <sz val="9"/>
      <color rgb="FF000000"/>
      <name val="Calibri"/>
      <charset val="134"/>
    </font>
    <font>
      <b/>
      <sz val="9"/>
      <color rgb="FF000000"/>
      <name val="Arial"/>
      <charset val="134"/>
    </font>
    <font>
      <sz val="9"/>
      <color rgb="FF000000"/>
      <name val="Arial"/>
      <charset val="134"/>
    </font>
    <font>
      <b/>
      <sz val="9"/>
      <color rgb="FF000000"/>
      <name val="Calibri"/>
      <charset val="134"/>
    </font>
    <font>
      <b/>
      <sz val="12"/>
      <color rgb="FFFFFFFF"/>
      <name val="Arial"/>
      <charset val="134"/>
    </font>
    <font>
      <sz val="8"/>
      <color rgb="FF000000"/>
      <name val="Arial"/>
      <charset val="134"/>
    </font>
    <font>
      <b/>
      <sz val="8"/>
      <color rgb="FF000000"/>
      <name val="Arial"/>
      <charset val="134"/>
    </font>
    <font>
      <b/>
      <sz val="18"/>
      <color rgb="FFFFFFFF"/>
      <name val="Calibri"/>
      <charset val="134"/>
    </font>
    <font>
      <b/>
      <sz val="11"/>
      <color rgb="FFFFFFFF"/>
      <name val="Calibri"/>
      <charset val="134"/>
    </font>
    <font>
      <b/>
      <sz val="10"/>
      <color rgb="FFFFFFFF"/>
      <name val="Calibri"/>
      <charset val="134"/>
    </font>
    <font>
      <i/>
      <sz val="10"/>
      <color rgb="FF0000FF"/>
      <name val="Calibri"/>
      <charset val="134"/>
    </font>
    <font>
      <b/>
      <i/>
      <sz val="10"/>
      <color rgb="FF0000FF"/>
      <name val="Calibri"/>
      <charset val="134"/>
    </font>
    <font>
      <b/>
      <sz val="10"/>
      <color rgb="FF000000"/>
      <name val="Arial"/>
      <charset val="134"/>
    </font>
    <font>
      <b/>
      <sz val="15"/>
      <color rgb="FF000000"/>
      <name val="Calibri"/>
      <charset val="134"/>
    </font>
    <font>
      <b/>
      <sz val="9"/>
      <color rgb="FFFFFFFF"/>
      <name val="Segoe UI"/>
      <charset val="134"/>
    </font>
    <font>
      <i/>
      <sz val="9"/>
      <color rgb="FF376092"/>
      <name val="Arial"/>
      <charset val="134"/>
    </font>
    <font>
      <b/>
      <sz val="14"/>
      <color rgb="FFFFFFFF"/>
      <name val="Segoe UI"/>
      <charset val="134"/>
    </font>
    <font>
      <b/>
      <sz val="16"/>
      <color rgb="FF000000"/>
      <name val="Segoe UI"/>
      <charset val="134"/>
    </font>
    <font>
      <b/>
      <sz val="10"/>
      <color rgb="FFFFFFFF"/>
      <name val="Segoe UI"/>
      <charset val="134"/>
    </font>
    <font>
      <sz val="10"/>
      <color rgb="FF000000"/>
      <name val="Arial"/>
      <charset val="134"/>
    </font>
    <font>
      <sz val="10"/>
      <color theme="1"/>
      <name val="Aptos Narrow"/>
      <charset val="134"/>
      <scheme val="minor"/>
    </font>
    <font>
      <u/>
      <sz val="11"/>
      <color rgb="FF0000FF"/>
      <name val="Aptos Narrow"/>
      <charset val="0"/>
      <scheme val="minor"/>
    </font>
    <font>
      <u/>
      <sz val="11"/>
      <color rgb="FF800080"/>
      <name val="Aptos Narrow"/>
      <charset val="0"/>
      <scheme val="minor"/>
    </font>
    <font>
      <sz val="11"/>
      <color rgb="FFFF0000"/>
      <name val="Aptos Narrow"/>
      <charset val="0"/>
      <scheme val="minor"/>
    </font>
    <font>
      <b/>
      <sz val="18"/>
      <color theme="3"/>
      <name val="Aptos Narrow"/>
      <charset val="134"/>
      <scheme val="minor"/>
    </font>
    <font>
      <i/>
      <sz val="11"/>
      <color rgb="FF7F7F7F"/>
      <name val="Aptos Narrow"/>
      <charset val="0"/>
      <scheme val="minor"/>
    </font>
    <font>
      <b/>
      <sz val="15"/>
      <color theme="3"/>
      <name val="Aptos Narrow"/>
      <charset val="134"/>
      <scheme val="minor"/>
    </font>
    <font>
      <b/>
      <sz val="13"/>
      <color theme="3"/>
      <name val="Aptos Narrow"/>
      <charset val="134"/>
      <scheme val="minor"/>
    </font>
    <font>
      <b/>
      <sz val="11"/>
      <color theme="3"/>
      <name val="Aptos Narrow"/>
      <charset val="134"/>
      <scheme val="minor"/>
    </font>
    <font>
      <sz val="11"/>
      <color rgb="FF3F3F76"/>
      <name val="Aptos Narrow"/>
      <charset val="0"/>
      <scheme val="minor"/>
    </font>
    <font>
      <b/>
      <sz val="11"/>
      <color rgb="FF3F3F3F"/>
      <name val="Aptos Narrow"/>
      <charset val="0"/>
      <scheme val="minor"/>
    </font>
    <font>
      <b/>
      <sz val="11"/>
      <color rgb="FFFA7D00"/>
      <name val="Aptos Narrow"/>
      <charset val="0"/>
      <scheme val="minor"/>
    </font>
    <font>
      <b/>
      <sz val="11"/>
      <color rgb="FFFFFFFF"/>
      <name val="Aptos Narrow"/>
      <charset val="0"/>
      <scheme val="minor"/>
    </font>
    <font>
      <sz val="11"/>
      <color rgb="FFFA7D00"/>
      <name val="Aptos Narrow"/>
      <charset val="0"/>
      <scheme val="minor"/>
    </font>
    <font>
      <b/>
      <sz val="11"/>
      <color theme="1"/>
      <name val="Aptos Narrow"/>
      <charset val="0"/>
      <scheme val="minor"/>
    </font>
    <font>
      <sz val="11"/>
      <color rgb="FF006100"/>
      <name val="Aptos Narrow"/>
      <charset val="0"/>
      <scheme val="minor"/>
    </font>
    <font>
      <sz val="11"/>
      <color rgb="FF9C0006"/>
      <name val="Aptos Narrow"/>
      <charset val="0"/>
      <scheme val="minor"/>
    </font>
    <font>
      <sz val="11"/>
      <color rgb="FF9C6500"/>
      <name val="Aptos Narrow"/>
      <charset val="0"/>
      <scheme val="minor"/>
    </font>
    <font>
      <sz val="11"/>
      <color theme="0"/>
      <name val="Aptos Narrow"/>
      <charset val="0"/>
      <scheme val="minor"/>
    </font>
    <font>
      <sz val="11"/>
      <color theme="1"/>
      <name val="Aptos Narrow"/>
      <charset val="0"/>
      <scheme val="minor"/>
    </font>
    <font>
      <sz val="11"/>
      <color rgb="FFFFFFFF"/>
      <name val="Arial"/>
      <charset val="134"/>
    </font>
    <font>
      <b/>
      <sz val="11"/>
      <color rgb="FF000000"/>
      <name val="Arial"/>
      <charset val="134"/>
    </font>
    <font>
      <sz val="11"/>
      <color rgb="FF666699"/>
      <name val="Arial"/>
      <charset val="134"/>
    </font>
    <font>
      <b/>
      <i/>
      <sz val="16"/>
      <color rgb="FF000000"/>
      <name val="Arial"/>
      <charset val="134"/>
    </font>
    <font>
      <b/>
      <i/>
      <u/>
      <sz val="11"/>
      <color rgb="FF000000"/>
      <name val="Arial"/>
      <charset val="134"/>
    </font>
    <font>
      <sz val="9"/>
      <color rgb="FF000000"/>
      <name val="Segoe UI"/>
      <charset val="134"/>
    </font>
    <font>
      <b/>
      <sz val="9"/>
      <color rgb="FF000000"/>
      <name val="Segoe UI"/>
      <charset val="134"/>
    </font>
  </fonts>
  <fills count="48">
    <fill>
      <patternFill patternType="none"/>
    </fill>
    <fill>
      <patternFill patternType="gray125"/>
    </fill>
    <fill>
      <patternFill patternType="solid">
        <fgColor rgb="FFC00000"/>
        <bgColor rgb="FFC00000"/>
      </patternFill>
    </fill>
    <fill>
      <patternFill patternType="solid">
        <fgColor rgb="FF93CDDD"/>
        <bgColor rgb="FF93CDDD"/>
      </patternFill>
    </fill>
    <fill>
      <patternFill patternType="solid">
        <fgColor rgb="FFB9CDE5"/>
        <bgColor rgb="FFB9CDE5"/>
      </patternFill>
    </fill>
    <fill>
      <patternFill patternType="solid">
        <fgColor rgb="FFFFFF00"/>
        <bgColor rgb="FFFFFF00"/>
      </patternFill>
    </fill>
    <fill>
      <patternFill patternType="solid">
        <fgColor rgb="FFFF0000"/>
        <bgColor rgb="FFFF0000"/>
      </patternFill>
    </fill>
    <fill>
      <patternFill patternType="solid">
        <fgColor rgb="FFB3A2C7"/>
        <bgColor rgb="FFB3A2C7"/>
      </patternFill>
    </fill>
    <fill>
      <patternFill patternType="solid">
        <fgColor rgb="FFFFFFFF"/>
        <bgColor rgb="FFFFFFFF"/>
      </patternFill>
    </fill>
    <fill>
      <patternFill patternType="solid">
        <fgColor rgb="FFFFFFCC"/>
        <bgColor rgb="FFFFFFCC"/>
      </patternFill>
    </fill>
    <fill>
      <patternFill patternType="solid">
        <fgColor rgb="FFC0C0C0"/>
        <bgColor rgb="FFC0C0C0"/>
      </patternFill>
    </fill>
    <fill>
      <patternFill patternType="solid">
        <fgColor rgb="FFDFDFDF"/>
        <bgColor rgb="FFDFDFDF"/>
      </patternFill>
    </fill>
    <fill>
      <patternFill patternType="solid">
        <fgColor rgb="FFFFFF99"/>
        <bgColor rgb="FFFFFF99"/>
      </patternFill>
    </fill>
    <fill>
      <patternFill patternType="solid">
        <fgColor rgb="FFDBEEF4"/>
        <bgColor rgb="FFDBEEF4"/>
      </patternFill>
    </fill>
    <fill>
      <patternFill patternType="solid">
        <fgColor rgb="FFFFC000"/>
        <bgColor rgb="FFFFC000"/>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CCFFCC"/>
        <bgColor rgb="FFCCFFCC"/>
      </patternFill>
    </fill>
    <fill>
      <patternFill patternType="solid">
        <fgColor rgb="FFFF8080"/>
        <bgColor rgb="FFFF8080"/>
      </patternFill>
    </fill>
  </fills>
  <borders count="19">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diagonal/>
    </border>
    <border>
      <left style="thin">
        <color rgb="FF000000"/>
      </left>
      <right style="thin">
        <color rgb="FF000000"/>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xf numFmtId="176" fontId="31" fillId="0" borderId="0" applyFont="0" applyFill="0" applyBorder="0" applyAlignment="0" applyProtection="0">
      <alignment vertical="center"/>
    </xf>
    <xf numFmtId="177" fontId="31" fillId="0" borderId="0" applyFont="0" applyFill="0" applyBorder="0" applyAlignment="0" applyProtection="0">
      <alignment vertical="center"/>
    </xf>
    <xf numFmtId="9" fontId="31" fillId="0" borderId="0" applyFont="0" applyFill="0" applyBorder="0" applyAlignment="0" applyProtection="0">
      <alignment vertical="center"/>
    </xf>
    <xf numFmtId="178" fontId="31" fillId="0" borderId="0" applyFont="0" applyFill="0" applyBorder="0" applyAlignment="0" applyProtection="0">
      <alignment vertical="center"/>
    </xf>
    <xf numFmtId="179" fontId="31"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1" fillId="15"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6" borderId="14" applyNumberFormat="0" applyAlignment="0" applyProtection="0">
      <alignment vertical="center"/>
    </xf>
    <xf numFmtId="0" fontId="41" fillId="17" borderId="15" applyNumberFormat="0" applyAlignment="0" applyProtection="0">
      <alignment vertical="center"/>
    </xf>
    <xf numFmtId="0" fontId="42" fillId="17" borderId="14" applyNumberFormat="0" applyAlignment="0" applyProtection="0">
      <alignment vertical="center"/>
    </xf>
    <xf numFmtId="0" fontId="43" fillId="18"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9" borderId="0" applyNumberFormat="0" applyBorder="0" applyAlignment="0" applyProtection="0">
      <alignment vertical="center"/>
    </xf>
    <xf numFmtId="0" fontId="47" fillId="20" borderId="0" applyNumberFormat="0" applyBorder="0" applyAlignment="0" applyProtection="0">
      <alignment vertical="center"/>
    </xf>
    <xf numFmtId="0" fontId="48" fillId="21" borderId="0" applyNumberFormat="0" applyBorder="0" applyAlignment="0" applyProtection="0">
      <alignment vertical="center"/>
    </xf>
    <xf numFmtId="0" fontId="49" fillId="22" borderId="0" applyNumberFormat="0" applyBorder="0" applyAlignment="0" applyProtection="0">
      <alignment vertical="center"/>
    </xf>
    <xf numFmtId="0" fontId="50" fillId="23" borderId="0" applyNumberFormat="0" applyBorder="0" applyAlignment="0" applyProtection="0">
      <alignment vertical="center"/>
    </xf>
    <xf numFmtId="0" fontId="50" fillId="24" borderId="0" applyNumberFormat="0" applyBorder="0" applyAlignment="0" applyProtection="0">
      <alignment vertical="center"/>
    </xf>
    <xf numFmtId="0" fontId="49" fillId="25" borderId="0" applyNumberFormat="0" applyBorder="0" applyAlignment="0" applyProtection="0">
      <alignment vertical="center"/>
    </xf>
    <xf numFmtId="0" fontId="49" fillId="26" borderId="0" applyNumberFormat="0" applyBorder="0" applyAlignment="0" applyProtection="0">
      <alignment vertical="center"/>
    </xf>
    <xf numFmtId="0" fontId="50" fillId="27" borderId="0" applyNumberFormat="0" applyBorder="0" applyAlignment="0" applyProtection="0">
      <alignment vertical="center"/>
    </xf>
    <xf numFmtId="0" fontId="50" fillId="28" borderId="0" applyNumberFormat="0" applyBorder="0" applyAlignment="0" applyProtection="0">
      <alignment vertical="center"/>
    </xf>
    <xf numFmtId="0" fontId="49" fillId="29" borderId="0" applyNumberFormat="0" applyBorder="0" applyAlignment="0" applyProtection="0">
      <alignment vertical="center"/>
    </xf>
    <xf numFmtId="0" fontId="49" fillId="30" borderId="0" applyNumberFormat="0" applyBorder="0" applyAlignment="0" applyProtection="0">
      <alignment vertical="center"/>
    </xf>
    <xf numFmtId="0" fontId="50" fillId="31" borderId="0" applyNumberFormat="0" applyBorder="0" applyAlignment="0" applyProtection="0">
      <alignment vertical="center"/>
    </xf>
    <xf numFmtId="0" fontId="50" fillId="32" borderId="0" applyNumberFormat="0" applyBorder="0" applyAlignment="0" applyProtection="0">
      <alignment vertical="center"/>
    </xf>
    <xf numFmtId="0" fontId="49" fillId="33" borderId="0" applyNumberFormat="0" applyBorder="0" applyAlignment="0" applyProtection="0">
      <alignment vertical="center"/>
    </xf>
    <xf numFmtId="0" fontId="49" fillId="34" borderId="0" applyNumberFormat="0" applyBorder="0" applyAlignment="0" applyProtection="0">
      <alignment vertical="center"/>
    </xf>
    <xf numFmtId="0" fontId="50" fillId="35" borderId="0" applyNumberFormat="0" applyBorder="0" applyAlignment="0" applyProtection="0">
      <alignment vertical="center"/>
    </xf>
    <xf numFmtId="0" fontId="50" fillId="36" borderId="0" applyNumberFormat="0" applyBorder="0" applyAlignment="0" applyProtection="0">
      <alignment vertical="center"/>
    </xf>
    <xf numFmtId="0" fontId="49" fillId="37" borderId="0" applyNumberFormat="0" applyBorder="0" applyAlignment="0" applyProtection="0">
      <alignment vertical="center"/>
    </xf>
    <xf numFmtId="0" fontId="49" fillId="38" borderId="0" applyNumberFormat="0" applyBorder="0" applyAlignment="0" applyProtection="0">
      <alignment vertical="center"/>
    </xf>
    <xf numFmtId="0" fontId="50" fillId="39" borderId="0" applyNumberFormat="0" applyBorder="0" applyAlignment="0" applyProtection="0">
      <alignment vertical="center"/>
    </xf>
    <xf numFmtId="0" fontId="50" fillId="40" borderId="0" applyNumberFormat="0" applyBorder="0" applyAlignment="0" applyProtection="0">
      <alignment vertical="center"/>
    </xf>
    <xf numFmtId="0" fontId="49" fillId="41" borderId="0" applyNumberFormat="0" applyBorder="0" applyAlignment="0" applyProtection="0">
      <alignment vertical="center"/>
    </xf>
    <xf numFmtId="0" fontId="49" fillId="42" borderId="0" applyNumberFormat="0" applyBorder="0" applyAlignment="0" applyProtection="0">
      <alignment vertical="center"/>
    </xf>
    <xf numFmtId="0" fontId="50" fillId="43" borderId="0" applyNumberFormat="0" applyBorder="0" applyAlignment="0" applyProtection="0">
      <alignment vertical="center"/>
    </xf>
    <xf numFmtId="0" fontId="50" fillId="44" borderId="0" applyNumberFormat="0" applyBorder="0" applyAlignment="0" applyProtection="0">
      <alignment vertical="center"/>
    </xf>
    <xf numFmtId="0" fontId="49" fillId="45" borderId="0" applyNumberFormat="0" applyBorder="0" applyAlignment="0" applyProtection="0">
      <alignment vertical="center"/>
    </xf>
    <xf numFmtId="0" fontId="51"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0" fillId="46" borderId="0" applyNumberFormat="0" applyFont="0" applyBorder="0" applyAlignment="0" applyProtection="0"/>
    <xf numFmtId="0" fontId="0" fillId="5" borderId="0" applyNumberFormat="0" applyFont="0" applyBorder="0" applyAlignment="0" applyProtection="0"/>
    <xf numFmtId="0" fontId="0" fillId="47" borderId="0" applyNumberFormat="0" applyFont="0" applyBorder="0" applyAlignment="0" applyProtection="0"/>
    <xf numFmtId="0" fontId="52" fillId="0" borderId="0" applyNumberFormat="0" applyBorder="0" applyProtection="0"/>
    <xf numFmtId="180" fontId="1" fillId="0" borderId="0" applyBorder="0" applyProtection="0"/>
    <xf numFmtId="181" fontId="1" fillId="0" borderId="0" applyBorder="0" applyProtection="0"/>
    <xf numFmtId="182" fontId="1" fillId="0" borderId="0" applyBorder="0" applyProtection="0"/>
    <xf numFmtId="183" fontId="1" fillId="0" borderId="0" applyBorder="0" applyProtection="0"/>
    <xf numFmtId="0" fontId="54" fillId="0" borderId="0" applyNumberFormat="0" applyBorder="0" applyProtection="0">
      <alignment horizontal="center"/>
    </xf>
    <xf numFmtId="0" fontId="54" fillId="0" borderId="0" applyNumberFormat="0" applyBorder="0" applyProtection="0">
      <alignment horizontal="center" textRotation="90"/>
    </xf>
    <xf numFmtId="0" fontId="55" fillId="0" borderId="0" applyNumberFormat="0" applyBorder="0" applyProtection="0"/>
    <xf numFmtId="184" fontId="55" fillId="0" borderId="0" applyBorder="0" applyProtection="0"/>
  </cellStyleXfs>
  <cellXfs count="158">
    <xf numFmtId="0" fontId="0" fillId="0" borderId="0" xfId="0"/>
    <xf numFmtId="182" fontId="1" fillId="0" borderId="0" xfId="58" applyFont="1" applyFill="1" applyAlignment="1" applyProtection="1"/>
    <xf numFmtId="182" fontId="1" fillId="0" borderId="0" xfId="58" applyFont="1" applyFill="1" applyAlignment="1" applyProtection="1">
      <alignment horizontal="center"/>
    </xf>
    <xf numFmtId="182" fontId="2" fillId="2" borderId="1" xfId="58" applyFont="1" applyFill="1" applyBorder="1" applyAlignment="1" applyProtection="1">
      <alignment horizontal="center"/>
    </xf>
    <xf numFmtId="182" fontId="3" fillId="2" borderId="2" xfId="58" applyFont="1" applyFill="1" applyBorder="1" applyAlignment="1" applyProtection="1">
      <alignment horizontal="center"/>
    </xf>
    <xf numFmtId="182" fontId="4" fillId="3" borderId="1" xfId="58" applyFont="1" applyFill="1" applyBorder="1" applyAlignment="1" applyProtection="1"/>
    <xf numFmtId="185" fontId="1" fillId="4" borderId="1" xfId="58" applyNumberFormat="1" applyFont="1" applyFill="1" applyBorder="1" applyAlignment="1" applyProtection="1">
      <alignment horizontal="center"/>
    </xf>
    <xf numFmtId="182" fontId="1" fillId="3" borderId="1" xfId="58" applyFont="1" applyFill="1" applyBorder="1" applyAlignment="1" applyProtection="1"/>
    <xf numFmtId="182" fontId="5" fillId="3" borderId="1" xfId="58" applyFont="1" applyFill="1" applyBorder="1" applyAlignment="1" applyProtection="1">
      <alignment horizontal="center" vertical="center"/>
    </xf>
    <xf numFmtId="182" fontId="5" fillId="3" borderId="1" xfId="58" applyFont="1" applyFill="1" applyBorder="1" applyAlignment="1" applyProtection="1">
      <alignment horizontal="center"/>
    </xf>
    <xf numFmtId="182" fontId="1" fillId="3" borderId="1" xfId="58" applyFont="1" applyFill="1" applyBorder="1" applyAlignment="1" applyProtection="1">
      <alignment horizontal="left"/>
    </xf>
    <xf numFmtId="183" fontId="6" fillId="5" borderId="1" xfId="58" applyNumberFormat="1" applyFont="1" applyFill="1" applyBorder="1" applyAlignment="1" applyProtection="1">
      <alignment horizontal="center"/>
      <protection locked="0"/>
    </xf>
    <xf numFmtId="182" fontId="6" fillId="3" borderId="1" xfId="58" applyFont="1" applyFill="1" applyBorder="1" applyAlignment="1" applyProtection="1">
      <alignment horizontal="left"/>
    </xf>
    <xf numFmtId="182" fontId="4" fillId="3" borderId="1" xfId="58" applyFont="1" applyFill="1" applyBorder="1" applyAlignment="1" applyProtection="1">
      <alignment horizontal="left"/>
    </xf>
    <xf numFmtId="185" fontId="5" fillId="3" borderId="1" xfId="58" applyNumberFormat="1" applyFont="1" applyFill="1" applyBorder="1" applyAlignment="1" applyProtection="1">
      <alignment horizontal="center"/>
    </xf>
    <xf numFmtId="185" fontId="6" fillId="3" borderId="1" xfId="58" applyNumberFormat="1" applyFont="1" applyFill="1" applyBorder="1" applyAlignment="1" applyProtection="1">
      <alignment horizontal="center"/>
    </xf>
    <xf numFmtId="183" fontId="6" fillId="5" borderId="1" xfId="59" applyFont="1" applyFill="1" applyBorder="1" applyAlignment="1" applyProtection="1">
      <alignment horizontal="center"/>
      <protection locked="0"/>
    </xf>
    <xf numFmtId="182" fontId="1" fillId="5" borderId="1" xfId="58" applyFont="1" applyFill="1" applyBorder="1" applyAlignment="1" applyProtection="1">
      <alignment horizontal="center"/>
      <protection locked="0"/>
    </xf>
    <xf numFmtId="182" fontId="6" fillId="3" borderId="1" xfId="58" applyFont="1" applyFill="1" applyBorder="1" applyAlignment="1" applyProtection="1"/>
    <xf numFmtId="182" fontId="7" fillId="6" borderId="1" xfId="58" applyFont="1" applyFill="1" applyBorder="1" applyAlignment="1" applyProtection="1"/>
    <xf numFmtId="182" fontId="7" fillId="6" borderId="1" xfId="58" applyFont="1" applyFill="1" applyBorder="1" applyAlignment="1" applyProtection="1">
      <alignment horizontal="center"/>
    </xf>
    <xf numFmtId="185" fontId="4" fillId="3" borderId="1" xfId="58" applyNumberFormat="1" applyFont="1" applyFill="1" applyBorder="1" applyAlignment="1" applyProtection="1">
      <alignment horizontal="center"/>
    </xf>
    <xf numFmtId="182" fontId="5" fillId="7" borderId="1" xfId="58" applyFont="1" applyFill="1" applyBorder="1" applyAlignment="1" applyProtection="1"/>
    <xf numFmtId="185" fontId="5" fillId="7" borderId="1" xfId="58" applyNumberFormat="1" applyFont="1" applyFill="1" applyBorder="1" applyAlignment="1" applyProtection="1">
      <alignment horizontal="center"/>
    </xf>
    <xf numFmtId="183" fontId="5" fillId="7" borderId="1" xfId="59" applyFont="1" applyFill="1" applyBorder="1" applyAlignment="1" applyProtection="1">
      <alignment horizontal="center"/>
    </xf>
    <xf numFmtId="185" fontId="7" fillId="6" borderId="1" xfId="58" applyNumberFormat="1" applyFont="1" applyFill="1" applyBorder="1" applyAlignment="1" applyProtection="1">
      <alignment horizontal="center"/>
    </xf>
    <xf numFmtId="182" fontId="8" fillId="3" borderId="1" xfId="58" applyFont="1" applyFill="1" applyBorder="1" applyAlignment="1" applyProtection="1"/>
    <xf numFmtId="185" fontId="8" fillId="8" borderId="1" xfId="58" applyNumberFormat="1" applyFont="1" applyFill="1" applyBorder="1" applyAlignment="1" applyProtection="1">
      <alignment horizontal="center"/>
    </xf>
    <xf numFmtId="183" fontId="9" fillId="3" borderId="1" xfId="59" applyFont="1" applyFill="1" applyBorder="1" applyAlignment="1" applyProtection="1">
      <alignment horizontal="center"/>
    </xf>
    <xf numFmtId="181" fontId="5" fillId="5" borderId="1" xfId="57" applyFont="1" applyFill="1" applyBorder="1" applyAlignment="1" applyProtection="1">
      <alignment horizontal="center"/>
      <protection locked="0"/>
    </xf>
    <xf numFmtId="181" fontId="6" fillId="3" borderId="1" xfId="57" applyFont="1" applyFill="1" applyBorder="1" applyAlignment="1" applyProtection="1">
      <alignment horizontal="center"/>
    </xf>
    <xf numFmtId="181" fontId="6" fillId="3" borderId="1" xfId="58" applyNumberFormat="1" applyFont="1" applyFill="1" applyBorder="1" applyAlignment="1" applyProtection="1">
      <alignment horizontal="center"/>
    </xf>
    <xf numFmtId="182" fontId="10" fillId="3" borderId="1" xfId="58" applyFont="1" applyFill="1" applyBorder="1" applyAlignment="1" applyProtection="1"/>
    <xf numFmtId="181" fontId="10" fillId="3" borderId="1" xfId="58" applyNumberFormat="1" applyFont="1" applyFill="1" applyBorder="1" applyAlignment="1" applyProtection="1"/>
    <xf numFmtId="181" fontId="6" fillId="3" borderId="1" xfId="58" applyNumberFormat="1" applyFont="1" applyFill="1" applyBorder="1" applyAlignment="1" applyProtection="1"/>
    <xf numFmtId="182" fontId="5" fillId="3" borderId="1" xfId="58" applyFont="1" applyFill="1" applyBorder="1" applyAlignment="1" applyProtection="1"/>
    <xf numFmtId="185" fontId="10" fillId="0" borderId="1" xfId="58" applyNumberFormat="1" applyFont="1" applyFill="1" applyBorder="1" applyAlignment="1" applyProtection="1">
      <alignment horizontal="center" vertical="center"/>
    </xf>
    <xf numFmtId="185" fontId="8" fillId="0" borderId="1" xfId="58" applyNumberFormat="1" applyFont="1" applyFill="1" applyBorder="1" applyAlignment="1" applyProtection="1">
      <alignment horizontal="center" vertical="center"/>
    </xf>
    <xf numFmtId="182" fontId="6" fillId="0" borderId="0" xfId="58" applyFont="1" applyFill="1" applyAlignment="1" applyProtection="1"/>
    <xf numFmtId="182" fontId="1" fillId="8" borderId="0" xfId="58" applyFont="1" applyFill="1" applyAlignment="1" applyProtection="1">
      <alignment wrapText="1"/>
    </xf>
    <xf numFmtId="182" fontId="11" fillId="8" borderId="0" xfId="58" applyFont="1" applyFill="1" applyAlignment="1" applyProtection="1">
      <alignment wrapText="1"/>
    </xf>
    <xf numFmtId="182" fontId="11" fillId="0" borderId="0" xfId="58" applyFont="1" applyFill="1" applyAlignment="1" applyProtection="1"/>
    <xf numFmtId="182" fontId="12" fillId="6" borderId="1" xfId="58" applyFont="1" applyFill="1" applyBorder="1" applyAlignment="1" applyProtection="1">
      <alignment horizontal="center" wrapText="1"/>
    </xf>
    <xf numFmtId="182" fontId="13" fillId="5" borderId="1" xfId="58" applyFont="1" applyFill="1" applyBorder="1" applyAlignment="1" applyProtection="1">
      <alignment horizontal="center" wrapText="1"/>
    </xf>
    <xf numFmtId="182" fontId="13" fillId="9" borderId="1" xfId="58" applyFont="1" applyFill="1" applyBorder="1" applyAlignment="1" applyProtection="1">
      <alignment horizontal="center" wrapText="1"/>
    </xf>
    <xf numFmtId="182" fontId="13" fillId="8" borderId="1" xfId="58" applyFont="1" applyFill="1" applyBorder="1" applyAlignment="1" applyProtection="1">
      <alignment horizontal="center" wrapText="1"/>
    </xf>
    <xf numFmtId="182" fontId="12" fillId="10" borderId="1" xfId="58" applyFont="1" applyFill="1" applyBorder="1" applyAlignment="1" applyProtection="1">
      <alignment horizontal="center" vertical="center" wrapText="1"/>
    </xf>
    <xf numFmtId="182" fontId="12" fillId="11" borderId="1" xfId="58" applyFont="1" applyFill="1" applyBorder="1" applyAlignment="1" applyProtection="1">
      <alignment vertical="center" wrapText="1"/>
    </xf>
    <xf numFmtId="182" fontId="12" fillId="11" borderId="1" xfId="58" applyFont="1" applyFill="1" applyBorder="1" applyAlignment="1" applyProtection="1">
      <alignment horizontal="center" vertical="center" wrapText="1"/>
    </xf>
    <xf numFmtId="182" fontId="12" fillId="10" borderId="1" xfId="58" applyFont="1" applyFill="1" applyBorder="1" applyAlignment="1" applyProtection="1">
      <alignment horizontal="right" vertical="center" wrapText="1"/>
    </xf>
    <xf numFmtId="182" fontId="13" fillId="11" borderId="1" xfId="58" applyFont="1" applyFill="1" applyBorder="1" applyAlignment="1" applyProtection="1">
      <alignment vertical="center" wrapText="1"/>
    </xf>
    <xf numFmtId="182" fontId="13" fillId="9" borderId="1" xfId="58" applyFont="1" applyFill="1" applyBorder="1" applyAlignment="1" applyProtection="1">
      <alignment horizontal="center" vertical="center" wrapText="1"/>
    </xf>
    <xf numFmtId="182" fontId="14" fillId="0" borderId="1" xfId="58" applyFont="1" applyFill="1" applyBorder="1" applyAlignment="1" applyProtection="1">
      <alignment horizontal="center" vertical="center"/>
    </xf>
    <xf numFmtId="182" fontId="12" fillId="10" borderId="3" xfId="58" applyFont="1" applyFill="1" applyBorder="1" applyAlignment="1" applyProtection="1">
      <alignment horizontal="right" vertical="center" wrapText="1"/>
    </xf>
    <xf numFmtId="182" fontId="12" fillId="8" borderId="1" xfId="58" applyFont="1" applyFill="1" applyBorder="1" applyAlignment="1" applyProtection="1">
      <alignment horizontal="center" vertical="center" wrapText="1"/>
    </xf>
    <xf numFmtId="182" fontId="4" fillId="8" borderId="1" xfId="58" applyFont="1" applyFill="1" applyBorder="1" applyAlignment="1" applyProtection="1">
      <alignment horizontal="center" vertical="center"/>
    </xf>
    <xf numFmtId="182" fontId="1" fillId="5" borderId="1" xfId="58" applyFont="1" applyFill="1" applyBorder="1" applyAlignment="1" applyProtection="1">
      <alignment horizontal="center" vertical="center"/>
    </xf>
    <xf numFmtId="182" fontId="15" fillId="2" borderId="1" xfId="58" applyFont="1" applyFill="1" applyBorder="1" applyAlignment="1" applyProtection="1">
      <alignment horizontal="right" vertical="center" wrapText="1"/>
    </xf>
    <xf numFmtId="185" fontId="2" fillId="2" borderId="1" xfId="58" applyNumberFormat="1" applyFont="1" applyFill="1" applyBorder="1" applyAlignment="1" applyProtection="1">
      <alignment horizontal="center" vertical="center"/>
    </xf>
    <xf numFmtId="182" fontId="16" fillId="8" borderId="0" xfId="58" applyFont="1" applyFill="1" applyAlignment="1" applyProtection="1">
      <alignment horizontal="left" wrapText="1"/>
    </xf>
    <xf numFmtId="182" fontId="17" fillId="8" borderId="0" xfId="58" applyFont="1" applyFill="1" applyAlignment="1" applyProtection="1">
      <alignment horizontal="center" vertical="center" wrapText="1"/>
    </xf>
    <xf numFmtId="182" fontId="16" fillId="8" borderId="0" xfId="58" applyFont="1" applyFill="1" applyAlignment="1" applyProtection="1">
      <alignment vertical="top" wrapText="1"/>
    </xf>
    <xf numFmtId="182" fontId="16" fillId="8" borderId="0" xfId="58" applyFont="1" applyFill="1" applyAlignment="1" applyProtection="1">
      <alignment wrapText="1"/>
    </xf>
    <xf numFmtId="182" fontId="18" fillId="2" borderId="4" xfId="58" applyFont="1" applyFill="1" applyBorder="1" applyAlignment="1" applyProtection="1">
      <alignment horizontal="center"/>
    </xf>
    <xf numFmtId="182" fontId="17" fillId="10" borderId="1" xfId="58" applyFont="1" applyFill="1" applyBorder="1" applyAlignment="1" applyProtection="1">
      <alignment wrapText="1"/>
    </xf>
    <xf numFmtId="182" fontId="16" fillId="8" borderId="1" xfId="58" applyFont="1" applyFill="1" applyBorder="1" applyAlignment="1" applyProtection="1">
      <alignment wrapText="1"/>
    </xf>
    <xf numFmtId="182" fontId="16" fillId="8" borderId="1" xfId="58" applyFont="1" applyFill="1" applyBorder="1" applyAlignment="1" applyProtection="1">
      <alignment horizontal="left" wrapText="1"/>
    </xf>
    <xf numFmtId="182" fontId="16" fillId="8" borderId="5" xfId="58" applyFont="1" applyFill="1" applyBorder="1" applyAlignment="1" applyProtection="1">
      <alignment wrapText="1"/>
    </xf>
    <xf numFmtId="182" fontId="17" fillId="10" borderId="1" xfId="58" applyFont="1" applyFill="1" applyBorder="1" applyAlignment="1" applyProtection="1">
      <alignment horizontal="center" wrapText="1"/>
    </xf>
    <xf numFmtId="182" fontId="17" fillId="6" borderId="1" xfId="58" applyFont="1" applyFill="1" applyBorder="1" applyAlignment="1" applyProtection="1">
      <alignment horizontal="center" wrapText="1"/>
    </xf>
    <xf numFmtId="182" fontId="16" fillId="5" borderId="1" xfId="58" applyFont="1" applyFill="1" applyBorder="1" applyAlignment="1" applyProtection="1">
      <alignment horizontal="center" wrapText="1"/>
    </xf>
    <xf numFmtId="182" fontId="16" fillId="9" borderId="1" xfId="58" applyFont="1" applyFill="1" applyBorder="1" applyAlignment="1" applyProtection="1">
      <alignment horizontal="center" wrapText="1"/>
    </xf>
    <xf numFmtId="182" fontId="16" fillId="8" borderId="1" xfId="58" applyFont="1" applyFill="1" applyBorder="1" applyAlignment="1" applyProtection="1">
      <alignment horizontal="center" wrapText="1"/>
    </xf>
    <xf numFmtId="182" fontId="19" fillId="2" borderId="4" xfId="58" applyFont="1" applyFill="1" applyBorder="1" applyAlignment="1" applyProtection="1">
      <alignment horizontal="center"/>
    </xf>
    <xf numFmtId="182" fontId="17" fillId="10" borderId="5" xfId="58" applyFont="1" applyFill="1" applyBorder="1" applyAlignment="1" applyProtection="1">
      <alignment vertical="center" wrapText="1"/>
    </xf>
    <xf numFmtId="182" fontId="17" fillId="10" borderId="6" xfId="58" applyFont="1" applyFill="1" applyBorder="1" applyAlignment="1" applyProtection="1">
      <alignment horizontal="center" vertical="center" wrapText="1"/>
    </xf>
    <xf numFmtId="182" fontId="17" fillId="10" borderId="1" xfId="58" applyFont="1" applyFill="1" applyBorder="1" applyAlignment="1" applyProtection="1">
      <alignment horizontal="center" vertical="center" wrapText="1"/>
    </xf>
    <xf numFmtId="0" fontId="0" fillId="11" borderId="1" xfId="0" applyFill="1" applyBorder="1"/>
    <xf numFmtId="182" fontId="17" fillId="11" borderId="1" xfId="58" applyFont="1" applyFill="1" applyBorder="1" applyAlignment="1" applyProtection="1">
      <alignment horizontal="center" vertical="center" wrapText="1"/>
    </xf>
    <xf numFmtId="182" fontId="17" fillId="11" borderId="3" xfId="58" applyFont="1" applyFill="1" applyBorder="1" applyAlignment="1" applyProtection="1">
      <alignment horizontal="center" vertical="center" wrapText="1"/>
    </xf>
    <xf numFmtId="185" fontId="16" fillId="5" borderId="1" xfId="58" applyNumberFormat="1" applyFont="1" applyFill="1" applyBorder="1" applyAlignment="1" applyProtection="1">
      <alignment horizontal="center" vertical="center" wrapText="1"/>
    </xf>
    <xf numFmtId="185" fontId="16" fillId="5" borderId="1" xfId="58" applyNumberFormat="1" applyFont="1" applyFill="1" applyBorder="1" applyAlignment="1" applyProtection="1">
      <alignment horizontal="left" vertical="center" wrapText="1"/>
    </xf>
    <xf numFmtId="186" fontId="16" fillId="9" borderId="1" xfId="58" applyNumberFormat="1" applyFont="1" applyFill="1" applyBorder="1" applyAlignment="1" applyProtection="1">
      <alignment horizontal="center" vertical="center" wrapText="1"/>
    </xf>
    <xf numFmtId="182" fontId="16" fillId="9" borderId="1" xfId="58" applyFont="1" applyFill="1" applyBorder="1" applyAlignment="1" applyProtection="1">
      <alignment horizontal="center" vertical="center" wrapText="1"/>
    </xf>
    <xf numFmtId="182" fontId="17" fillId="8" borderId="1" xfId="58" applyFont="1" applyFill="1" applyBorder="1" applyAlignment="1" applyProtection="1">
      <alignment horizontal="center" vertical="center" wrapText="1"/>
    </xf>
    <xf numFmtId="0" fontId="0" fillId="9" borderId="1" xfId="0" applyFill="1" applyBorder="1"/>
    <xf numFmtId="182" fontId="16" fillId="9" borderId="3" xfId="58" applyFont="1" applyFill="1" applyBorder="1" applyAlignment="1" applyProtection="1">
      <alignment vertical="top" wrapText="1"/>
    </xf>
    <xf numFmtId="182" fontId="16" fillId="9" borderId="1" xfId="58" applyFont="1" applyFill="1" applyBorder="1" applyAlignment="1" applyProtection="1">
      <alignment vertical="top" wrapText="1"/>
    </xf>
    <xf numFmtId="182" fontId="16" fillId="9" borderId="7" xfId="58" applyFont="1" applyFill="1" applyBorder="1" applyAlignment="1" applyProtection="1">
      <alignment vertical="top" wrapText="1"/>
    </xf>
    <xf numFmtId="182" fontId="11" fillId="0" borderId="0" xfId="58" applyFont="1" applyFill="1" applyAlignment="1" applyProtection="1">
      <alignment horizontal="center"/>
    </xf>
    <xf numFmtId="182" fontId="11" fillId="0" borderId="0" xfId="58" applyFont="1" applyFill="1" applyAlignment="1" applyProtection="1">
      <alignment horizontal="center" vertical="center"/>
    </xf>
    <xf numFmtId="182" fontId="7" fillId="2" borderId="1" xfId="58" applyFont="1" applyFill="1" applyBorder="1" applyAlignment="1" applyProtection="1">
      <alignment horizontal="left"/>
    </xf>
    <xf numFmtId="185" fontId="7" fillId="2" borderId="1" xfId="58" applyNumberFormat="1" applyFont="1" applyFill="1" applyBorder="1" applyAlignment="1" applyProtection="1">
      <alignment horizontal="center"/>
    </xf>
    <xf numFmtId="182" fontId="20" fillId="6" borderId="4" xfId="58" applyFont="1" applyFill="1" applyBorder="1" applyAlignment="1" applyProtection="1">
      <alignment horizontal="left"/>
    </xf>
    <xf numFmtId="185" fontId="20" fillId="6" borderId="2" xfId="58" applyNumberFormat="1" applyFont="1" applyFill="1" applyBorder="1" applyAlignment="1" applyProtection="1">
      <alignment horizontal="center"/>
    </xf>
    <xf numFmtId="185" fontId="20" fillId="6" borderId="1" xfId="58" applyNumberFormat="1" applyFont="1" applyFill="1" applyBorder="1" applyAlignment="1" applyProtection="1">
      <alignment horizontal="center"/>
    </xf>
    <xf numFmtId="182" fontId="20" fillId="6" borderId="2" xfId="58" applyFont="1" applyFill="1" applyBorder="1" applyAlignment="1" applyProtection="1">
      <alignment horizontal="left"/>
    </xf>
    <xf numFmtId="182" fontId="20" fillId="6" borderId="1" xfId="58" applyFont="1" applyFill="1" applyBorder="1" applyAlignment="1" applyProtection="1">
      <alignment horizontal="center"/>
    </xf>
    <xf numFmtId="182" fontId="6" fillId="3" borderId="1" xfId="58" applyFont="1" applyFill="1" applyBorder="1" applyAlignment="1" applyProtection="1">
      <alignment horizontal="center"/>
      <protection locked="0"/>
    </xf>
    <xf numFmtId="182" fontId="21" fillId="5" borderId="1" xfId="58" applyFont="1" applyFill="1" applyBorder="1" applyAlignment="1" applyProtection="1">
      <alignment horizontal="left" wrapText="1"/>
      <protection locked="0"/>
    </xf>
    <xf numFmtId="187" fontId="21" fillId="12" borderId="1" xfId="58" applyNumberFormat="1" applyFont="1" applyFill="1" applyBorder="1" applyAlignment="1" applyProtection="1">
      <alignment horizontal="center"/>
      <protection locked="0"/>
    </xf>
    <xf numFmtId="188" fontId="21" fillId="12" borderId="1" xfId="56" applyNumberFormat="1" applyFont="1" applyFill="1" applyBorder="1" applyAlignment="1" applyProtection="1">
      <alignment horizontal="center" vertical="center"/>
      <protection locked="0"/>
    </xf>
    <xf numFmtId="182" fontId="22" fillId="5" borderId="1" xfId="58" applyFont="1" applyFill="1" applyBorder="1" applyAlignment="1" applyProtection="1">
      <protection locked="0"/>
    </xf>
    <xf numFmtId="189" fontId="21" fillId="12" borderId="1" xfId="56" applyNumberFormat="1" applyFont="1" applyFill="1" applyBorder="1" applyAlignment="1" applyProtection="1">
      <alignment horizontal="center" vertical="center"/>
      <protection locked="0"/>
    </xf>
    <xf numFmtId="182" fontId="6" fillId="5" borderId="1" xfId="58" applyFont="1" applyFill="1" applyBorder="1" applyAlignment="1" applyProtection="1">
      <alignment horizontal="left" wrapText="1"/>
      <protection locked="0"/>
    </xf>
    <xf numFmtId="187" fontId="6" fillId="12" borderId="1" xfId="58" applyNumberFormat="1" applyFont="1" applyFill="1" applyBorder="1" applyAlignment="1" applyProtection="1">
      <alignment horizontal="center"/>
      <protection locked="0"/>
    </xf>
    <xf numFmtId="189" fontId="6" fillId="12" borderId="1" xfId="56" applyNumberFormat="1" applyFont="1" applyFill="1" applyBorder="1" applyAlignment="1" applyProtection="1">
      <alignment horizontal="center" vertical="center"/>
      <protection locked="0"/>
    </xf>
    <xf numFmtId="182" fontId="5" fillId="5" borderId="1" xfId="58" applyFont="1" applyFill="1" applyBorder="1" applyAlignment="1" applyProtection="1">
      <protection locked="0"/>
    </xf>
    <xf numFmtId="182" fontId="6" fillId="0" borderId="8" xfId="58" applyFont="1" applyFill="1" applyBorder="1" applyAlignment="1" applyProtection="1">
      <alignment horizontal="left"/>
    </xf>
    <xf numFmtId="182" fontId="6" fillId="0" borderId="8" xfId="58" applyFont="1" applyFill="1" applyBorder="1" applyAlignment="1" applyProtection="1"/>
    <xf numFmtId="182" fontId="23" fillId="0" borderId="8" xfId="58" applyFont="1" applyFill="1" applyBorder="1" applyAlignment="1" applyProtection="1">
      <alignment horizontal="left"/>
    </xf>
    <xf numFmtId="188" fontId="6" fillId="0" borderId="8" xfId="58" applyNumberFormat="1" applyFont="1" applyFill="1" applyBorder="1" applyAlignment="1" applyProtection="1"/>
    <xf numFmtId="182" fontId="20" fillId="6" borderId="2" xfId="58" applyFont="1" applyFill="1" applyBorder="1" applyAlignment="1" applyProtection="1">
      <alignment horizontal="center" vertical="center"/>
    </xf>
    <xf numFmtId="182" fontId="20" fillId="6" borderId="2" xfId="58" applyFont="1" applyFill="1" applyBorder="1" applyAlignment="1" applyProtection="1">
      <alignment horizontal="center"/>
    </xf>
    <xf numFmtId="182" fontId="20" fillId="6" borderId="1" xfId="58" applyFont="1" applyFill="1" applyBorder="1" applyAlignment="1" applyProtection="1">
      <alignment horizontal="center" vertical="center"/>
    </xf>
    <xf numFmtId="188" fontId="21" fillId="13" borderId="1" xfId="56" applyNumberFormat="1" applyFont="1" applyFill="1" applyBorder="1" applyAlignment="1" applyProtection="1">
      <alignment horizontal="center" vertical="center"/>
      <protection locked="0"/>
    </xf>
    <xf numFmtId="182" fontId="21" fillId="5" borderId="1" xfId="58" applyFont="1" applyFill="1" applyBorder="1" applyAlignment="1" applyProtection="1">
      <alignment horizontal="center"/>
      <protection locked="0"/>
    </xf>
    <xf numFmtId="189" fontId="21" fillId="13" borderId="1" xfId="56" applyNumberFormat="1" applyFont="1" applyFill="1" applyBorder="1" applyAlignment="1" applyProtection="1">
      <alignment horizontal="center" vertical="center"/>
      <protection locked="0"/>
    </xf>
    <xf numFmtId="189" fontId="6" fillId="13" borderId="1" xfId="56" applyNumberFormat="1" applyFont="1" applyFill="1" applyBorder="1" applyAlignment="1" applyProtection="1">
      <alignment horizontal="center" vertical="center"/>
      <protection locked="0"/>
    </xf>
    <xf numFmtId="182" fontId="6" fillId="5" borderId="1" xfId="58" applyFont="1" applyFill="1" applyBorder="1" applyAlignment="1" applyProtection="1">
      <alignment horizontal="center"/>
      <protection locked="0"/>
    </xf>
    <xf numFmtId="188" fontId="6" fillId="0" borderId="8" xfId="58" applyNumberFormat="1" applyFont="1" applyFill="1" applyBorder="1" applyAlignment="1" applyProtection="1">
      <alignment horizontal="center" vertical="center"/>
    </xf>
    <xf numFmtId="182" fontId="7" fillId="2" borderId="1" xfId="58" applyFont="1" applyFill="1" applyBorder="1" applyAlignment="1" applyProtection="1">
      <alignment horizontal="center"/>
    </xf>
    <xf numFmtId="182" fontId="7" fillId="2" borderId="2" xfId="58" applyFont="1" applyFill="1" applyBorder="1" applyAlignment="1" applyProtection="1">
      <alignment horizontal="center"/>
    </xf>
    <xf numFmtId="182" fontId="10" fillId="3" borderId="1" xfId="58" applyFont="1" applyFill="1" applyBorder="1" applyAlignment="1" applyProtection="1">
      <alignment horizontal="center"/>
    </xf>
    <xf numFmtId="185" fontId="1" fillId="3" borderId="1" xfId="58" applyNumberFormat="1" applyFont="1" applyFill="1" applyBorder="1" applyAlignment="1" applyProtection="1">
      <alignment horizontal="center"/>
    </xf>
    <xf numFmtId="182" fontId="24" fillId="3" borderId="1" xfId="58" applyFont="1" applyFill="1" applyBorder="1" applyAlignment="1" applyProtection="1"/>
    <xf numFmtId="185" fontId="24" fillId="3" borderId="1" xfId="58" applyNumberFormat="1" applyFont="1" applyFill="1" applyBorder="1" applyAlignment="1" applyProtection="1">
      <alignment horizontal="center"/>
    </xf>
    <xf numFmtId="182" fontId="24" fillId="3" borderId="1" xfId="58" applyFont="1" applyFill="1" applyBorder="1" applyAlignment="1" applyProtection="1">
      <alignment horizontal="left"/>
    </xf>
    <xf numFmtId="185" fontId="10" fillId="3" borderId="1" xfId="58" applyNumberFormat="1" applyFont="1" applyFill="1" applyBorder="1" applyAlignment="1" applyProtection="1">
      <alignment horizontal="center"/>
    </xf>
    <xf numFmtId="181" fontId="6" fillId="5" borderId="1" xfId="57" applyFont="1" applyFill="1" applyBorder="1" applyAlignment="1" applyProtection="1">
      <alignment horizontal="center"/>
      <protection locked="0"/>
    </xf>
    <xf numFmtId="181" fontId="8" fillId="3" borderId="1" xfId="58" applyNumberFormat="1" applyFont="1" applyFill="1" applyBorder="1" applyAlignment="1" applyProtection="1"/>
    <xf numFmtId="182" fontId="1" fillId="0" borderId="0" xfId="58" applyFont="1" applyFill="1" applyAlignment="1" applyProtection="1">
      <alignment horizontal="center" vertical="center"/>
    </xf>
    <xf numFmtId="182" fontId="25" fillId="2" borderId="9" xfId="58" applyFont="1" applyFill="1" applyBorder="1" applyAlignment="1" applyProtection="1">
      <alignment horizontal="center" vertical="center" wrapText="1"/>
    </xf>
    <xf numFmtId="182" fontId="25" fillId="2" borderId="4" xfId="58" applyFont="1" applyFill="1" applyBorder="1" applyAlignment="1" applyProtection="1">
      <alignment horizontal="center" vertical="center" wrapText="1"/>
    </xf>
    <xf numFmtId="182" fontId="26" fillId="3" borderId="4" xfId="58" applyFont="1" applyFill="1" applyBorder="1" applyAlignment="1" applyProtection="1">
      <alignment horizontal="center" vertical="center" wrapText="1"/>
    </xf>
    <xf numFmtId="182" fontId="26" fillId="3" borderId="3" xfId="58" applyFont="1" applyFill="1" applyBorder="1" applyAlignment="1" applyProtection="1">
      <alignment horizontal="center" vertical="center" wrapText="1"/>
    </xf>
    <xf numFmtId="182" fontId="12" fillId="3" borderId="1" xfId="58" applyFont="1" applyFill="1" applyBorder="1" applyAlignment="1" applyProtection="1">
      <alignment horizontal="center" vertical="center" wrapText="1"/>
    </xf>
    <xf numFmtId="182" fontId="12" fillId="3" borderId="1" xfId="58" applyFont="1" applyFill="1" applyBorder="1" applyAlignment="1" applyProtection="1">
      <alignment wrapText="1"/>
    </xf>
    <xf numFmtId="182" fontId="12" fillId="14" borderId="1" xfId="58" applyFont="1" applyFill="1" applyBorder="1" applyAlignment="1" applyProtection="1">
      <alignment horizontal="center" vertical="center" wrapText="1"/>
      <protection locked="0"/>
    </xf>
    <xf numFmtId="182" fontId="12" fillId="14" borderId="1" xfId="58" applyFont="1" applyFill="1" applyBorder="1" applyAlignment="1" applyProtection="1">
      <alignment horizontal="center" vertical="center"/>
      <protection locked="0"/>
    </xf>
    <xf numFmtId="182" fontId="12" fillId="14" borderId="10" xfId="58" applyFont="1" applyFill="1" applyBorder="1" applyAlignment="1" applyProtection="1">
      <alignment horizontal="center" vertical="center" wrapText="1"/>
      <protection locked="0"/>
    </xf>
    <xf numFmtId="182" fontId="12" fillId="14" borderId="5" xfId="58" applyFont="1" applyFill="1" applyBorder="1" applyAlignment="1" applyProtection="1">
      <alignment horizontal="center" vertical="center" wrapText="1"/>
      <protection locked="0"/>
    </xf>
    <xf numFmtId="182" fontId="12" fillId="14" borderId="5" xfId="58" applyFont="1" applyFill="1" applyBorder="1" applyAlignment="1" applyProtection="1">
      <alignment vertical="center" wrapText="1"/>
      <protection locked="0"/>
    </xf>
    <xf numFmtId="182" fontId="13" fillId="5" borderId="1" xfId="58" applyFont="1" applyFill="1" applyBorder="1" applyAlignment="1" applyProtection="1">
      <protection locked="0"/>
    </xf>
    <xf numFmtId="182" fontId="23" fillId="5" borderId="1" xfId="58" applyFont="1" applyFill="1" applyBorder="1" applyAlignment="1" applyProtection="1">
      <alignment horizontal="center" vertical="center"/>
      <protection locked="0"/>
    </xf>
    <xf numFmtId="182" fontId="12" fillId="5" borderId="5" xfId="58" applyFont="1" applyFill="1" applyBorder="1" applyAlignment="1" applyProtection="1">
      <alignment horizontal="center" vertical="center" wrapText="1"/>
      <protection locked="0"/>
    </xf>
    <xf numFmtId="182" fontId="13" fillId="5" borderId="1" xfId="58" applyFont="1" applyFill="1" applyBorder="1" applyAlignment="1" applyProtection="1">
      <alignment horizontal="center" vertical="center"/>
      <protection locked="0"/>
    </xf>
    <xf numFmtId="182" fontId="12" fillId="5" borderId="1" xfId="58" applyFont="1" applyFill="1" applyBorder="1" applyAlignment="1" applyProtection="1">
      <alignment horizontal="center" vertical="center" wrapText="1"/>
      <protection locked="0"/>
    </xf>
    <xf numFmtId="182" fontId="13" fillId="5" borderId="1" xfId="58" applyFont="1" applyFill="1" applyBorder="1" applyAlignment="1" applyProtection="1">
      <alignment horizontal="left"/>
      <protection locked="0"/>
    </xf>
    <xf numFmtId="182" fontId="12" fillId="14" borderId="1" xfId="58" applyFont="1" applyFill="1" applyBorder="1" applyAlignment="1" applyProtection="1">
      <alignment vertical="center" wrapText="1"/>
      <protection locked="0"/>
    </xf>
    <xf numFmtId="0" fontId="0" fillId="14" borderId="1" xfId="0" applyFill="1" applyBorder="1"/>
    <xf numFmtId="182" fontId="10" fillId="0" borderId="0" xfId="58" applyFont="1" applyFill="1" applyAlignment="1" applyProtection="1">
      <alignment horizontal="center" vertical="center"/>
    </xf>
    <xf numFmtId="182" fontId="23" fillId="4" borderId="1" xfId="58" applyFont="1" applyFill="1" applyBorder="1" applyAlignment="1" applyProtection="1">
      <alignment horizontal="center" vertical="center"/>
      <protection locked="0"/>
    </xf>
    <xf numFmtId="182" fontId="23" fillId="4" borderId="1" xfId="58" applyNumberFormat="1" applyFont="1" applyFill="1" applyBorder="1" applyAlignment="1" applyProtection="1">
      <alignment horizontal="center" vertical="center"/>
      <protection locked="0"/>
    </xf>
    <xf numFmtId="182" fontId="27" fillId="2" borderId="1" xfId="58" applyFont="1" applyFill="1" applyBorder="1" applyAlignment="1" applyProtection="1">
      <alignment horizontal="center" vertical="center" wrapText="1"/>
    </xf>
    <xf numFmtId="182" fontId="28" fillId="5" borderId="1" xfId="58" applyFont="1" applyFill="1" applyBorder="1" applyAlignment="1" applyProtection="1">
      <alignment horizontal="center" vertical="center" wrapText="1"/>
      <protection locked="0"/>
    </xf>
    <xf numFmtId="182" fontId="29" fillId="2" borderId="1" xfId="58" applyFont="1" applyFill="1" applyBorder="1" applyAlignment="1" applyProtection="1">
      <alignment horizontal="center" vertical="center" wrapText="1"/>
    </xf>
    <xf numFmtId="182" fontId="30" fillId="5" borderId="1" xfId="58" applyFont="1" applyFill="1" applyBorder="1" applyAlignment="1" applyProtection="1">
      <protection locked="0"/>
    </xf>
  </cellXfs>
  <cellStyles count="64">
    <cellStyle name="Normal" xfId="0" builtinId="0"/>
    <cellStyle name="Comma" xfId="1" builtinId="3"/>
    <cellStyle name="Moeda" xfId="2" builtinId="4"/>
    <cellStyle name="Porcentagem" xfId="3" builtinId="5"/>
    <cellStyle name="Comma [0]" xfId="4" builtinId="6"/>
    <cellStyle name="Moeda [0]" xfId="5" builtinId="7"/>
    <cellStyle name="Hyperlink" xfId="6" builtinId="8"/>
    <cellStyle name="Hyperlink seguido" xfId="7" builtinId="9"/>
    <cellStyle name="Observação" xfId="8" builtinId="10"/>
    <cellStyle name="Texto de Aviso" xfId="9" builtinId="11"/>
    <cellStyle name="Título" xfId="10" builtinId="15"/>
    <cellStyle name="Texto Explicativo" xfId="11" builtinId="53"/>
    <cellStyle name="Título 1" xfId="12" builtinId="16"/>
    <cellStyle name="Título 2" xfId="13" builtinId="17"/>
    <cellStyle name="Título 3" xfId="14" builtinId="18"/>
    <cellStyle name="Título 4" xfId="15" builtinId="19"/>
    <cellStyle name="Entrada" xfId="16" builtinId="20"/>
    <cellStyle name="Saída" xfId="17" builtinId="21"/>
    <cellStyle name="Cálculo" xfId="18" builtinId="22"/>
    <cellStyle name="Célula de Verificação" xfId="19" builtinId="23"/>
    <cellStyle name="Célula Vinculada" xfId="20" builtinId="24"/>
    <cellStyle name="Total" xfId="21" builtinId="25"/>
    <cellStyle name="Bom" xfId="22" builtinId="26"/>
    <cellStyle name="Ruim" xfId="23" builtinId="27"/>
    <cellStyle name="Neutro" xfId="24" builtinId="28"/>
    <cellStyle name="Ênfase 1" xfId="25" builtinId="29"/>
    <cellStyle name="20% - Ênfase 1" xfId="26" builtinId="30"/>
    <cellStyle name="40% - Ênfase 1" xfId="27" builtinId="31"/>
    <cellStyle name="60% - Ênfase 1" xfId="28" builtinId="32"/>
    <cellStyle name="Ênfase 2" xfId="29" builtinId="33"/>
    <cellStyle name="20% - Ênfase 2" xfId="30" builtinId="34"/>
    <cellStyle name="40% - Ênfase 2" xfId="31" builtinId="35"/>
    <cellStyle name="60% - Ênfase 2" xfId="32" builtinId="36"/>
    <cellStyle name="Ênfase 3" xfId="33" builtinId="37"/>
    <cellStyle name="20% - Ênfase 3" xfId="34" builtinId="38"/>
    <cellStyle name="40% - Ênfase 3" xfId="35" builtinId="39"/>
    <cellStyle name="60% - Ênfase 3" xfId="36" builtinId="40"/>
    <cellStyle name="Ênfase 4" xfId="37" builtinId="41"/>
    <cellStyle name="20% - Ênfase 4" xfId="38" builtinId="42"/>
    <cellStyle name="40% - Ênfase 4" xfId="39" builtinId="43"/>
    <cellStyle name="60% - Ênfase 4" xfId="40" builtinId="44"/>
    <cellStyle name="Ênfase 5" xfId="41" builtinId="45"/>
    <cellStyle name="20% - Ênfase 5" xfId="42" builtinId="46"/>
    <cellStyle name="40% - Ênfase 5" xfId="43" builtinId="47"/>
    <cellStyle name="60% - Ênfase 5" xfId="44" builtinId="48"/>
    <cellStyle name="Ênfase 6" xfId="45" builtinId="49"/>
    <cellStyle name="20% - Ênfase 6" xfId="46" builtinId="50"/>
    <cellStyle name="40% - Ênfase 6" xfId="47" builtinId="51"/>
    <cellStyle name="60% - Ênfase 6" xfId="48" builtinId="52"/>
    <cellStyle name="cf1" xfId="49"/>
    <cellStyle name="cf2" xfId="50"/>
    <cellStyle name="cf3" xfId="51"/>
    <cellStyle name="cf4" xfId="52"/>
    <cellStyle name="cf5" xfId="53"/>
    <cellStyle name="cf6" xfId="54"/>
    <cellStyle name="ConditionalStyle_1" xfId="55"/>
    <cellStyle name="Excel Built-in Comma" xfId="56"/>
    <cellStyle name="Excel Built-in Currency" xfId="57"/>
    <cellStyle name="Excel Built-in Normal" xfId="58"/>
    <cellStyle name="Excel Built-in Percent" xfId="59"/>
    <cellStyle name="Heading" xfId="60"/>
    <cellStyle name="Heading1" xfId="61"/>
    <cellStyle name="Result" xfId="62"/>
    <cellStyle name="Result2" xfId="63"/>
  </cellStyles>
  <dxfs count="6">
    <dxf>
      <font>
        <family val="2"/>
        <color rgb="FFFFFFFF"/>
      </font>
    </dxf>
    <dxf>
      <font>
        <family val="2"/>
        <b val="1"/>
      </font>
    </dxf>
    <dxf>
      <font>
        <family val="2"/>
        <color rgb="FF666699"/>
      </font>
    </dxf>
    <dxf>
      <fill>
        <patternFill patternType="solid">
          <fgColor rgb="FFCCFFCC"/>
          <bgColor rgb="FFCCFFCC"/>
        </patternFill>
      </fill>
    </dxf>
    <dxf>
      <fill>
        <patternFill patternType="solid">
          <fgColor rgb="FFFFFF00"/>
          <bgColor rgb="FFFFFF00"/>
        </patternFill>
      </fill>
    </dxf>
    <dxf>
      <fill>
        <patternFill patternType="solid">
          <fgColor rgb="FFFF8080"/>
          <bgColor rgb="FFFF80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6</xdr:col>
      <xdr:colOff>750960</xdr:colOff>
      <xdr:row>18</xdr:row>
      <xdr:rowOff>67318</xdr:rowOff>
    </xdr:from>
    <xdr:ext cx="3725997" cy="1019382"/>
    <xdr:pic>
      <xdr:nvPicPr>
        <xdr:cNvPr id="2" name="Imagem 2"/>
        <xdr:cNvPicPr>
          <a:picLocks noChangeAspect="1"/>
        </xdr:cNvPicPr>
      </xdr:nvPicPr>
      <xdr:blipFill>
        <a:blip r:embed="rId1">
          <a:lum/>
        </a:blip>
        <a:srcRect/>
        <a:stretch>
          <a:fillRect/>
        </a:stretch>
      </xdr:blipFill>
      <xdr:spPr>
        <a:xfrm>
          <a:off x="8427720" y="3846830"/>
          <a:ext cx="3726180" cy="1019175"/>
        </a:xfrm>
        <a:prstGeom prst="rect">
          <a:avLst/>
        </a:prstGeom>
        <a:noFill/>
        <a:ln cap="flat">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oneCellAnchor>
    <xdr:from>
      <xdr:col>0</xdr:col>
      <xdr:colOff>46076</xdr:colOff>
      <xdr:row>22</xdr:row>
      <xdr:rowOff>57598</xdr:rowOff>
    </xdr:from>
    <xdr:ext cx="3380756" cy="687061"/>
    <xdr:pic>
      <xdr:nvPicPr>
        <xdr:cNvPr id="6" name="Imagem 3"/>
        <xdr:cNvPicPr>
          <a:picLocks noChangeAspect="1"/>
        </xdr:cNvPicPr>
      </xdr:nvPicPr>
      <xdr:blipFill>
        <a:blip r:embed="rId1">
          <a:lum/>
        </a:blip>
        <a:srcRect/>
        <a:stretch>
          <a:fillRect/>
        </a:stretch>
      </xdr:blipFill>
      <xdr:spPr>
        <a:xfrm>
          <a:off x="45720" y="3829050"/>
          <a:ext cx="3380740" cy="687070"/>
        </a:xfrm>
        <a:prstGeom prst="rect">
          <a:avLst/>
        </a:prstGeom>
        <a:noFill/>
        <a:ln cap="flat">
          <a:noFill/>
        </a:ln>
      </xdr:spPr>
    </xdr:pic>
    <xdr:clientData/>
  </xdr:oneCellAnchor>
  <xdr:oneCellAnchor>
    <xdr:from>
      <xdr:col>3</xdr:col>
      <xdr:colOff>1452597</xdr:colOff>
      <xdr:row>22</xdr:row>
      <xdr:rowOff>74523</xdr:rowOff>
    </xdr:from>
    <xdr:ext cx="3711604" cy="1690137"/>
    <xdr:pic>
      <xdr:nvPicPr>
        <xdr:cNvPr id="7" name="Imagem 4"/>
        <xdr:cNvPicPr>
          <a:picLocks noChangeAspect="1"/>
        </xdr:cNvPicPr>
      </xdr:nvPicPr>
      <xdr:blipFill>
        <a:blip r:embed="rId2">
          <a:lum/>
        </a:blip>
        <a:srcRect/>
        <a:stretch>
          <a:fillRect/>
        </a:stretch>
      </xdr:blipFill>
      <xdr:spPr>
        <a:xfrm>
          <a:off x="3490595" y="3846195"/>
          <a:ext cx="3711575" cy="1689735"/>
        </a:xfrm>
        <a:prstGeom prst="rect">
          <a:avLst/>
        </a:prstGeom>
        <a:noFill/>
        <a:ln cap="flat">
          <a:noFill/>
        </a:ln>
      </xdr:spPr>
    </xdr:pic>
    <xdr:clientData/>
  </xdr:oneCellAnchor>
  <xdr:oneCellAnchor>
    <xdr:from>
      <xdr:col>0</xdr:col>
      <xdr:colOff>798481</xdr:colOff>
      <xdr:row>5</xdr:row>
      <xdr:rowOff>10076</xdr:rowOff>
    </xdr:from>
    <xdr:ext cx="297719" cy="236518"/>
    <xdr:sp>
      <xdr:nvSpPr>
        <xdr:cNvPr id="2" name="Fluxograma: Conector 6"/>
        <xdr:cNvSpPr/>
      </xdr:nvSpPr>
      <xdr:spPr>
        <a:xfrm>
          <a:off x="798195" y="1019175"/>
          <a:ext cx="297815" cy="236855"/>
        </a:xfrm>
        <a:custGeom>
          <a:avLst/>
          <a:gdLst>
            <a:gd name="f0" fmla="val 10800000"/>
            <a:gd name="f1" fmla="val 5400000"/>
            <a:gd name="f2" fmla="val 180"/>
            <a:gd name="f3" fmla="val w"/>
            <a:gd name="f4" fmla="val h"/>
            <a:gd name="f5" fmla="val 0"/>
            <a:gd name="f6" fmla="val 21600"/>
            <a:gd name="f7" fmla="*/ 5419351 1 1725033"/>
            <a:gd name="f8" fmla="*/ 10800 10800 1"/>
            <a:gd name="f9" fmla="+- 0 0 360"/>
            <a:gd name="f10" fmla="val 10800"/>
            <a:gd name="f11" fmla="+- 0 0 0"/>
            <a:gd name="f12" fmla="*/ f3 1 21600"/>
            <a:gd name="f13" fmla="*/ f4 1 21600"/>
            <a:gd name="f14" fmla="val f5"/>
            <a:gd name="f15" fmla="val f6"/>
            <a:gd name="f16" fmla="*/ 0 f7 1"/>
            <a:gd name="f17" fmla="*/ f5 f0 1"/>
            <a:gd name="f18" fmla="*/ f9 f0 1"/>
            <a:gd name="f19" fmla="*/ f11 f0 1"/>
            <a:gd name="f20" fmla="+- f15 0 f14"/>
            <a:gd name="f21" fmla="*/ f16 1 f2"/>
            <a:gd name="f22" fmla="*/ f17 1 f2"/>
            <a:gd name="f23" fmla="*/ f18 1 f2"/>
            <a:gd name="f24" fmla="*/ f19 1 f2"/>
            <a:gd name="f25" fmla="*/ f20 1 21600"/>
            <a:gd name="f26" fmla="+- 0 0 f21"/>
            <a:gd name="f27" fmla="+- f22 0 f1"/>
            <a:gd name="f28" fmla="+- f23 0 f1"/>
            <a:gd name="f29" fmla="+- f24 0 f1"/>
            <a:gd name="f30" fmla="*/ 3180 f25 1"/>
            <a:gd name="f31" fmla="*/ 18420 f25 1"/>
            <a:gd name="f32" fmla="*/ 10800 f25 1"/>
            <a:gd name="f33" fmla="*/ 0 f25 1"/>
            <a:gd name="f34" fmla="*/ 3163 f25 1"/>
            <a:gd name="f35" fmla="*/ 18437 f25 1"/>
            <a:gd name="f36" fmla="*/ 21600 f25 1"/>
            <a:gd name="f37" fmla="*/ f26 f0 1"/>
            <a:gd name="f38" fmla="+- f28 0 f27"/>
            <a:gd name="f39" fmla="*/ f37 1 f7"/>
            <a:gd name="f40" fmla="*/ f32 1 f25"/>
            <a:gd name="f41" fmla="*/ f33 1 f25"/>
            <a:gd name="f42" fmla="*/ f34 1 f25"/>
            <a:gd name="f43" fmla="*/ f35 1 f25"/>
            <a:gd name="f44" fmla="*/ f36 1 f25"/>
            <a:gd name="f45" fmla="*/ f30 1 f25"/>
            <a:gd name="f46" fmla="*/ f31 1 f25"/>
            <a:gd name="f47" fmla="+- f39 0 f1"/>
            <a:gd name="f48" fmla="*/ f45 f12 1"/>
            <a:gd name="f49" fmla="*/ f46 f12 1"/>
            <a:gd name="f50" fmla="*/ f46 f13 1"/>
            <a:gd name="f51" fmla="*/ f45 f13 1"/>
            <a:gd name="f52" fmla="*/ f40 f12 1"/>
            <a:gd name="f53" fmla="*/ f41 f13 1"/>
            <a:gd name="f54" fmla="*/ f42 f12 1"/>
            <a:gd name="f55" fmla="*/ f42 f13 1"/>
            <a:gd name="f56" fmla="*/ f41 f12 1"/>
            <a:gd name="f57" fmla="*/ f40 f13 1"/>
            <a:gd name="f58" fmla="*/ f43 f13 1"/>
            <a:gd name="f59" fmla="*/ f44 f13 1"/>
            <a:gd name="f60" fmla="*/ f43 f12 1"/>
            <a:gd name="f61" fmla="*/ f44 f12 1"/>
            <a:gd name="f62" fmla="+- f47 f1 0"/>
            <a:gd name="f63" fmla="*/ f62 f7 1"/>
            <a:gd name="f64" fmla="*/ f63 1 f0"/>
            <a:gd name="f65" fmla="+- 0 0 f64"/>
            <a:gd name="f66" fmla="+- 0 0 f65"/>
            <a:gd name="f67" fmla="*/ f66 f0 1"/>
            <a:gd name="f68" fmla="*/ f67 1 f7"/>
            <a:gd name="f69" fmla="+- f68 0 f1"/>
            <a:gd name="f70" fmla="cos 1 f69"/>
            <a:gd name="f71" fmla="sin 1 f69"/>
            <a:gd name="f72" fmla="+- 0 0 f70"/>
            <a:gd name="f73" fmla="+- 0 0 f71"/>
            <a:gd name="f74" fmla="+- 0 0 f72"/>
            <a:gd name="f75" fmla="+- 0 0 f73"/>
            <a:gd name="f76" fmla="val f74"/>
            <a:gd name="f77" fmla="val f75"/>
            <a:gd name="f78" fmla="+- 0 0 f76"/>
            <a:gd name="f79" fmla="+- 0 0 f77"/>
            <a:gd name="f80" fmla="*/ 10800 f78 1"/>
            <a:gd name="f81" fmla="*/ 10800 f79 1"/>
            <a:gd name="f82" fmla="*/ f80 f80 1"/>
            <a:gd name="f83" fmla="*/ f81 f81 1"/>
            <a:gd name="f84" fmla="+- f82 f83 0"/>
            <a:gd name="f85" fmla="sqrt f84"/>
            <a:gd name="f86" fmla="*/ f8 1 f85"/>
            <a:gd name="f87" fmla="*/ f78 f86 1"/>
            <a:gd name="f88" fmla="*/ f79 f86 1"/>
            <a:gd name="f89" fmla="+- 10800 0 f87"/>
            <a:gd name="f90" fmla="+- 10800 0 f88"/>
          </a:gdLst>
          <a:ahLst/>
          <a:cxnLst>
            <a:cxn ang="3">
              <a:pos x="hc" y="t"/>
            </a:cxn>
            <a:cxn ang="0">
              <a:pos x="r" y="vc"/>
            </a:cxn>
            <a:cxn ang="cd4">
              <a:pos x="hc" y="b"/>
            </a:cxn>
            <a:cxn ang="cd2">
              <a:pos x="l" y="vc"/>
            </a:cxn>
            <a:cxn ang="f29">
              <a:pos x="f52" y="f53"/>
            </a:cxn>
            <a:cxn ang="f29">
              <a:pos x="f54" y="f55"/>
            </a:cxn>
            <a:cxn ang="f29">
              <a:pos x="f56" y="f57"/>
            </a:cxn>
            <a:cxn ang="f29">
              <a:pos x="f54" y="f58"/>
            </a:cxn>
            <a:cxn ang="f29">
              <a:pos x="f52" y="f59"/>
            </a:cxn>
            <a:cxn ang="f29">
              <a:pos x="f60" y="f58"/>
            </a:cxn>
            <a:cxn ang="f29">
              <a:pos x="f61" y="f57"/>
            </a:cxn>
            <a:cxn ang="f29">
              <a:pos x="f60" y="f55"/>
            </a:cxn>
          </a:cxnLst>
          <a:rect l="f48" t="f51" r="f49" b="f50"/>
          <a:pathLst>
            <a:path w="21600" h="21600">
              <a:moveTo>
                <a:pt x="f89" y="f90"/>
              </a:moveTo>
              <a:arcTo wR="f10" hR="f10" stAng="f27" swAng="f38"/>
              <a:close/>
            </a:path>
          </a:pathLst>
        </a:custGeom>
        <a:solidFill>
          <a:srgbClr val="C00000"/>
        </a:solidFill>
        <a:ln w="6483" cap="flat">
          <a:solidFill>
            <a:srgbClr val="C00000"/>
          </a:solidFill>
          <a:prstDash val="solid"/>
          <a:miter/>
        </a:ln>
      </xdr:spPr>
      <xdr:txBody>
        <a:bodyPr vert="horz" wrap="square" lIns="90004" tIns="44997" rIns="90004" bIns="44997" anchor="ctr" anchorCtr="1" compatLnSpc="0">
          <a:noAutofit/>
        </a:bodyPr>
        <a:lstStyle/>
        <a:p>
          <a:pPr marL="0" marR="0" lvl="0" indent="0" algn="ctr" defTabSz="914400" rtl="0" fontAlgn="auto" hangingPunct="0">
            <a:lnSpc>
              <a:spcPct val="100000"/>
            </a:lnSpc>
            <a:spcBef>
              <a:spcPts val="0"/>
            </a:spcBef>
            <a:spcAft>
              <a:spcPts val="0"/>
            </a:spcAft>
            <a:buNone/>
            <a:defRPr sz="1800" b="0" i="0" u="none" strike="noStrike" kern="0" cap="none" spc="0" baseline="0">
              <a:solidFill>
                <a:srgbClr val="000000"/>
              </a:solidFill>
              <a:uFillTx/>
            </a:defRPr>
          </a:pPr>
          <a:r>
            <a:rPr lang="pt-BR" sz="1800" b="1" i="0" u="none" strike="noStrike" kern="1200" cap="none" spc="0" baseline="0">
              <a:solidFill>
                <a:srgbClr val="FFFFFF"/>
              </a:solidFill>
              <a:uFillTx/>
              <a:latin typeface="Calibri" panose="020F0502020204030204" pitchFamily="18"/>
            </a:rPr>
            <a:t>1</a:t>
          </a:r>
          <a:endParaRPr lang="pt-BR" sz="1800" b="1" i="0" u="none" strike="noStrike" kern="1200" cap="none" spc="0" baseline="0">
            <a:solidFill>
              <a:srgbClr val="FFFFFF"/>
            </a:solidFill>
            <a:uFillTx/>
            <a:latin typeface="Calibri" panose="020F0502020204030204" pitchFamily="18"/>
          </a:endParaRPr>
        </a:p>
      </xdr:txBody>
    </xdr:sp>
    <xdr:clientData/>
  </xdr:oneCellAnchor>
  <xdr:oneCellAnchor>
    <xdr:from>
      <xdr:col>3</xdr:col>
      <xdr:colOff>1322277</xdr:colOff>
      <xdr:row>5</xdr:row>
      <xdr:rowOff>10076</xdr:rowOff>
    </xdr:from>
    <xdr:ext cx="275755" cy="304559"/>
    <xdr:sp>
      <xdr:nvSpPr>
        <xdr:cNvPr id="3" name="Fluxograma: Conector 7"/>
        <xdr:cNvSpPr/>
      </xdr:nvSpPr>
      <xdr:spPr>
        <a:xfrm>
          <a:off x="3360420" y="1019175"/>
          <a:ext cx="275590" cy="304800"/>
        </a:xfrm>
        <a:custGeom>
          <a:avLst/>
          <a:gdLst>
            <a:gd name="f0" fmla="val 10800000"/>
            <a:gd name="f1" fmla="val 5400000"/>
            <a:gd name="f2" fmla="val 180"/>
            <a:gd name="f3" fmla="val w"/>
            <a:gd name="f4" fmla="val h"/>
            <a:gd name="f5" fmla="val 0"/>
            <a:gd name="f6" fmla="val 21600"/>
            <a:gd name="f7" fmla="*/ 5419351 1 1725033"/>
            <a:gd name="f8" fmla="*/ 10800 10800 1"/>
            <a:gd name="f9" fmla="+- 0 0 360"/>
            <a:gd name="f10" fmla="val 10800"/>
            <a:gd name="f11" fmla="+- 0 0 0"/>
            <a:gd name="f12" fmla="*/ f3 1 21600"/>
            <a:gd name="f13" fmla="*/ f4 1 21600"/>
            <a:gd name="f14" fmla="val f5"/>
            <a:gd name="f15" fmla="val f6"/>
            <a:gd name="f16" fmla="*/ 0 f7 1"/>
            <a:gd name="f17" fmla="*/ f5 f0 1"/>
            <a:gd name="f18" fmla="*/ f9 f0 1"/>
            <a:gd name="f19" fmla="*/ f11 f0 1"/>
            <a:gd name="f20" fmla="+- f15 0 f14"/>
            <a:gd name="f21" fmla="*/ f16 1 f2"/>
            <a:gd name="f22" fmla="*/ f17 1 f2"/>
            <a:gd name="f23" fmla="*/ f18 1 f2"/>
            <a:gd name="f24" fmla="*/ f19 1 f2"/>
            <a:gd name="f25" fmla="*/ f20 1 21600"/>
            <a:gd name="f26" fmla="+- 0 0 f21"/>
            <a:gd name="f27" fmla="+- f22 0 f1"/>
            <a:gd name="f28" fmla="+- f23 0 f1"/>
            <a:gd name="f29" fmla="+- f24 0 f1"/>
            <a:gd name="f30" fmla="*/ 3180 f25 1"/>
            <a:gd name="f31" fmla="*/ 18420 f25 1"/>
            <a:gd name="f32" fmla="*/ 10800 f25 1"/>
            <a:gd name="f33" fmla="*/ 0 f25 1"/>
            <a:gd name="f34" fmla="*/ 3163 f25 1"/>
            <a:gd name="f35" fmla="*/ 18437 f25 1"/>
            <a:gd name="f36" fmla="*/ 21600 f25 1"/>
            <a:gd name="f37" fmla="*/ f26 f0 1"/>
            <a:gd name="f38" fmla="+- f28 0 f27"/>
            <a:gd name="f39" fmla="*/ f37 1 f7"/>
            <a:gd name="f40" fmla="*/ f32 1 f25"/>
            <a:gd name="f41" fmla="*/ f33 1 f25"/>
            <a:gd name="f42" fmla="*/ f34 1 f25"/>
            <a:gd name="f43" fmla="*/ f35 1 f25"/>
            <a:gd name="f44" fmla="*/ f36 1 f25"/>
            <a:gd name="f45" fmla="*/ f30 1 f25"/>
            <a:gd name="f46" fmla="*/ f31 1 f25"/>
            <a:gd name="f47" fmla="+- f39 0 f1"/>
            <a:gd name="f48" fmla="*/ f45 f12 1"/>
            <a:gd name="f49" fmla="*/ f46 f12 1"/>
            <a:gd name="f50" fmla="*/ f46 f13 1"/>
            <a:gd name="f51" fmla="*/ f45 f13 1"/>
            <a:gd name="f52" fmla="*/ f40 f12 1"/>
            <a:gd name="f53" fmla="*/ f41 f13 1"/>
            <a:gd name="f54" fmla="*/ f42 f12 1"/>
            <a:gd name="f55" fmla="*/ f42 f13 1"/>
            <a:gd name="f56" fmla="*/ f41 f12 1"/>
            <a:gd name="f57" fmla="*/ f40 f13 1"/>
            <a:gd name="f58" fmla="*/ f43 f13 1"/>
            <a:gd name="f59" fmla="*/ f44 f13 1"/>
            <a:gd name="f60" fmla="*/ f43 f12 1"/>
            <a:gd name="f61" fmla="*/ f44 f12 1"/>
            <a:gd name="f62" fmla="+- f47 f1 0"/>
            <a:gd name="f63" fmla="*/ f62 f7 1"/>
            <a:gd name="f64" fmla="*/ f63 1 f0"/>
            <a:gd name="f65" fmla="+- 0 0 f64"/>
            <a:gd name="f66" fmla="+- 0 0 f65"/>
            <a:gd name="f67" fmla="*/ f66 f0 1"/>
            <a:gd name="f68" fmla="*/ f67 1 f7"/>
            <a:gd name="f69" fmla="+- f68 0 f1"/>
            <a:gd name="f70" fmla="cos 1 f69"/>
            <a:gd name="f71" fmla="sin 1 f69"/>
            <a:gd name="f72" fmla="+- 0 0 f70"/>
            <a:gd name="f73" fmla="+- 0 0 f71"/>
            <a:gd name="f74" fmla="+- 0 0 f72"/>
            <a:gd name="f75" fmla="+- 0 0 f73"/>
            <a:gd name="f76" fmla="val f74"/>
            <a:gd name="f77" fmla="val f75"/>
            <a:gd name="f78" fmla="+- 0 0 f76"/>
            <a:gd name="f79" fmla="+- 0 0 f77"/>
            <a:gd name="f80" fmla="*/ 10800 f78 1"/>
            <a:gd name="f81" fmla="*/ 10800 f79 1"/>
            <a:gd name="f82" fmla="*/ f80 f80 1"/>
            <a:gd name="f83" fmla="*/ f81 f81 1"/>
            <a:gd name="f84" fmla="+- f82 f83 0"/>
            <a:gd name="f85" fmla="sqrt f84"/>
            <a:gd name="f86" fmla="*/ f8 1 f85"/>
            <a:gd name="f87" fmla="*/ f78 f86 1"/>
            <a:gd name="f88" fmla="*/ f79 f86 1"/>
            <a:gd name="f89" fmla="+- 10800 0 f87"/>
            <a:gd name="f90" fmla="+- 10800 0 f88"/>
          </a:gdLst>
          <a:ahLst/>
          <a:cxnLst>
            <a:cxn ang="3">
              <a:pos x="hc" y="t"/>
            </a:cxn>
            <a:cxn ang="0">
              <a:pos x="r" y="vc"/>
            </a:cxn>
            <a:cxn ang="cd4">
              <a:pos x="hc" y="b"/>
            </a:cxn>
            <a:cxn ang="cd2">
              <a:pos x="l" y="vc"/>
            </a:cxn>
            <a:cxn ang="f29">
              <a:pos x="f52" y="f53"/>
            </a:cxn>
            <a:cxn ang="f29">
              <a:pos x="f54" y="f55"/>
            </a:cxn>
            <a:cxn ang="f29">
              <a:pos x="f56" y="f57"/>
            </a:cxn>
            <a:cxn ang="f29">
              <a:pos x="f54" y="f58"/>
            </a:cxn>
            <a:cxn ang="f29">
              <a:pos x="f52" y="f59"/>
            </a:cxn>
            <a:cxn ang="f29">
              <a:pos x="f60" y="f58"/>
            </a:cxn>
            <a:cxn ang="f29">
              <a:pos x="f61" y="f57"/>
            </a:cxn>
            <a:cxn ang="f29">
              <a:pos x="f60" y="f55"/>
            </a:cxn>
          </a:cxnLst>
          <a:rect l="f48" t="f51" r="f49" b="f50"/>
          <a:pathLst>
            <a:path w="21600" h="21600">
              <a:moveTo>
                <a:pt x="f89" y="f90"/>
              </a:moveTo>
              <a:arcTo wR="f10" hR="f10" stAng="f27" swAng="f38"/>
              <a:close/>
            </a:path>
          </a:pathLst>
        </a:custGeom>
        <a:solidFill>
          <a:srgbClr val="C00000"/>
        </a:solidFill>
        <a:ln w="6483" cap="flat">
          <a:solidFill>
            <a:srgbClr val="C00000"/>
          </a:solidFill>
          <a:prstDash val="solid"/>
          <a:miter/>
        </a:ln>
      </xdr:spPr>
      <xdr:txBody>
        <a:bodyPr vert="horz" wrap="square" lIns="90004" tIns="44997" rIns="90004" bIns="44997" anchor="ctr" anchorCtr="1" compatLnSpc="0">
          <a:noAutofit/>
        </a:bodyPr>
        <a:lstStyle/>
        <a:p>
          <a:pPr marL="0" marR="0" lvl="0" indent="0" algn="ctr" defTabSz="914400" rtl="0" fontAlgn="auto" hangingPunct="0">
            <a:lnSpc>
              <a:spcPct val="100000"/>
            </a:lnSpc>
            <a:spcBef>
              <a:spcPts val="0"/>
            </a:spcBef>
            <a:spcAft>
              <a:spcPts val="0"/>
            </a:spcAft>
            <a:buNone/>
            <a:defRPr sz="1800" b="0" i="0" u="none" strike="noStrike" kern="0" cap="none" spc="0" baseline="0">
              <a:solidFill>
                <a:srgbClr val="000000"/>
              </a:solidFill>
              <a:uFillTx/>
            </a:defRPr>
          </a:pPr>
          <a:r>
            <a:rPr lang="pt-BR" sz="1800" b="1" i="0" u="none" strike="noStrike" kern="1200" cap="none" spc="0" baseline="0">
              <a:solidFill>
                <a:srgbClr val="FFFFFF"/>
              </a:solidFill>
              <a:uFillTx/>
              <a:latin typeface="Calibri" panose="020F0502020204030204" pitchFamily="18"/>
            </a:rPr>
            <a:t>2</a:t>
          </a:r>
          <a:endParaRPr lang="pt-BR" sz="1800" b="1" i="0" u="none" strike="noStrike" kern="1200" cap="none" spc="0" baseline="0">
            <a:solidFill>
              <a:srgbClr val="FFFFFF"/>
            </a:solidFill>
            <a:uFillTx/>
            <a:latin typeface="Calibri" panose="020F0502020204030204" pitchFamily="18"/>
          </a:endParaRPr>
        </a:p>
      </xdr:txBody>
    </xdr:sp>
    <xdr:clientData/>
  </xdr:oneCellAnchor>
  <xdr:oneCellAnchor>
    <xdr:from>
      <xdr:col>7</xdr:col>
      <xdr:colOff>503276</xdr:colOff>
      <xdr:row>5</xdr:row>
      <xdr:rowOff>10076</xdr:rowOff>
    </xdr:from>
    <xdr:ext cx="315001" cy="304559"/>
    <xdr:sp>
      <xdr:nvSpPr>
        <xdr:cNvPr id="4" name="Fluxograma: Conector 8"/>
        <xdr:cNvSpPr/>
      </xdr:nvSpPr>
      <xdr:spPr>
        <a:xfrm>
          <a:off x="6608445" y="1019175"/>
          <a:ext cx="314960" cy="304800"/>
        </a:xfrm>
        <a:custGeom>
          <a:avLst/>
          <a:gdLst>
            <a:gd name="f0" fmla="val 10800000"/>
            <a:gd name="f1" fmla="val 5400000"/>
            <a:gd name="f2" fmla="val 180"/>
            <a:gd name="f3" fmla="val w"/>
            <a:gd name="f4" fmla="val h"/>
            <a:gd name="f5" fmla="val 0"/>
            <a:gd name="f6" fmla="val 21600"/>
            <a:gd name="f7" fmla="*/ 5419351 1 1725033"/>
            <a:gd name="f8" fmla="*/ 10800 10800 1"/>
            <a:gd name="f9" fmla="+- 0 0 360"/>
            <a:gd name="f10" fmla="val 10800"/>
            <a:gd name="f11" fmla="+- 0 0 0"/>
            <a:gd name="f12" fmla="*/ f3 1 21600"/>
            <a:gd name="f13" fmla="*/ f4 1 21600"/>
            <a:gd name="f14" fmla="val f5"/>
            <a:gd name="f15" fmla="val f6"/>
            <a:gd name="f16" fmla="*/ 0 f7 1"/>
            <a:gd name="f17" fmla="*/ f5 f0 1"/>
            <a:gd name="f18" fmla="*/ f9 f0 1"/>
            <a:gd name="f19" fmla="*/ f11 f0 1"/>
            <a:gd name="f20" fmla="+- f15 0 f14"/>
            <a:gd name="f21" fmla="*/ f16 1 f2"/>
            <a:gd name="f22" fmla="*/ f17 1 f2"/>
            <a:gd name="f23" fmla="*/ f18 1 f2"/>
            <a:gd name="f24" fmla="*/ f19 1 f2"/>
            <a:gd name="f25" fmla="*/ f20 1 21600"/>
            <a:gd name="f26" fmla="+- 0 0 f21"/>
            <a:gd name="f27" fmla="+- f22 0 f1"/>
            <a:gd name="f28" fmla="+- f23 0 f1"/>
            <a:gd name="f29" fmla="+- f24 0 f1"/>
            <a:gd name="f30" fmla="*/ 3180 f25 1"/>
            <a:gd name="f31" fmla="*/ 18420 f25 1"/>
            <a:gd name="f32" fmla="*/ 10800 f25 1"/>
            <a:gd name="f33" fmla="*/ 0 f25 1"/>
            <a:gd name="f34" fmla="*/ 3163 f25 1"/>
            <a:gd name="f35" fmla="*/ 18437 f25 1"/>
            <a:gd name="f36" fmla="*/ 21600 f25 1"/>
            <a:gd name="f37" fmla="*/ f26 f0 1"/>
            <a:gd name="f38" fmla="+- f28 0 f27"/>
            <a:gd name="f39" fmla="*/ f37 1 f7"/>
            <a:gd name="f40" fmla="*/ f32 1 f25"/>
            <a:gd name="f41" fmla="*/ f33 1 f25"/>
            <a:gd name="f42" fmla="*/ f34 1 f25"/>
            <a:gd name="f43" fmla="*/ f35 1 f25"/>
            <a:gd name="f44" fmla="*/ f36 1 f25"/>
            <a:gd name="f45" fmla="*/ f30 1 f25"/>
            <a:gd name="f46" fmla="*/ f31 1 f25"/>
            <a:gd name="f47" fmla="+- f39 0 f1"/>
            <a:gd name="f48" fmla="*/ f45 f12 1"/>
            <a:gd name="f49" fmla="*/ f46 f12 1"/>
            <a:gd name="f50" fmla="*/ f46 f13 1"/>
            <a:gd name="f51" fmla="*/ f45 f13 1"/>
            <a:gd name="f52" fmla="*/ f40 f12 1"/>
            <a:gd name="f53" fmla="*/ f41 f13 1"/>
            <a:gd name="f54" fmla="*/ f42 f12 1"/>
            <a:gd name="f55" fmla="*/ f42 f13 1"/>
            <a:gd name="f56" fmla="*/ f41 f12 1"/>
            <a:gd name="f57" fmla="*/ f40 f13 1"/>
            <a:gd name="f58" fmla="*/ f43 f13 1"/>
            <a:gd name="f59" fmla="*/ f44 f13 1"/>
            <a:gd name="f60" fmla="*/ f43 f12 1"/>
            <a:gd name="f61" fmla="*/ f44 f12 1"/>
            <a:gd name="f62" fmla="+- f47 f1 0"/>
            <a:gd name="f63" fmla="*/ f62 f7 1"/>
            <a:gd name="f64" fmla="*/ f63 1 f0"/>
            <a:gd name="f65" fmla="+- 0 0 f64"/>
            <a:gd name="f66" fmla="+- 0 0 f65"/>
            <a:gd name="f67" fmla="*/ f66 f0 1"/>
            <a:gd name="f68" fmla="*/ f67 1 f7"/>
            <a:gd name="f69" fmla="+- f68 0 f1"/>
            <a:gd name="f70" fmla="cos 1 f69"/>
            <a:gd name="f71" fmla="sin 1 f69"/>
            <a:gd name="f72" fmla="+- 0 0 f70"/>
            <a:gd name="f73" fmla="+- 0 0 f71"/>
            <a:gd name="f74" fmla="+- 0 0 f72"/>
            <a:gd name="f75" fmla="+- 0 0 f73"/>
            <a:gd name="f76" fmla="val f74"/>
            <a:gd name="f77" fmla="val f75"/>
            <a:gd name="f78" fmla="+- 0 0 f76"/>
            <a:gd name="f79" fmla="+- 0 0 f77"/>
            <a:gd name="f80" fmla="*/ 10800 f78 1"/>
            <a:gd name="f81" fmla="*/ 10800 f79 1"/>
            <a:gd name="f82" fmla="*/ f80 f80 1"/>
            <a:gd name="f83" fmla="*/ f81 f81 1"/>
            <a:gd name="f84" fmla="+- f82 f83 0"/>
            <a:gd name="f85" fmla="sqrt f84"/>
            <a:gd name="f86" fmla="*/ f8 1 f85"/>
            <a:gd name="f87" fmla="*/ f78 f86 1"/>
            <a:gd name="f88" fmla="*/ f79 f86 1"/>
            <a:gd name="f89" fmla="+- 10800 0 f87"/>
            <a:gd name="f90" fmla="+- 10800 0 f88"/>
          </a:gdLst>
          <a:ahLst/>
          <a:cxnLst>
            <a:cxn ang="3">
              <a:pos x="hc" y="t"/>
            </a:cxn>
            <a:cxn ang="0">
              <a:pos x="r" y="vc"/>
            </a:cxn>
            <a:cxn ang="cd4">
              <a:pos x="hc" y="b"/>
            </a:cxn>
            <a:cxn ang="cd2">
              <a:pos x="l" y="vc"/>
            </a:cxn>
            <a:cxn ang="f29">
              <a:pos x="f52" y="f53"/>
            </a:cxn>
            <a:cxn ang="f29">
              <a:pos x="f54" y="f55"/>
            </a:cxn>
            <a:cxn ang="f29">
              <a:pos x="f56" y="f57"/>
            </a:cxn>
            <a:cxn ang="f29">
              <a:pos x="f54" y="f58"/>
            </a:cxn>
            <a:cxn ang="f29">
              <a:pos x="f52" y="f59"/>
            </a:cxn>
            <a:cxn ang="f29">
              <a:pos x="f60" y="f58"/>
            </a:cxn>
            <a:cxn ang="f29">
              <a:pos x="f61" y="f57"/>
            </a:cxn>
            <a:cxn ang="f29">
              <a:pos x="f60" y="f55"/>
            </a:cxn>
          </a:cxnLst>
          <a:rect l="f48" t="f51" r="f49" b="f50"/>
          <a:pathLst>
            <a:path w="21600" h="21600">
              <a:moveTo>
                <a:pt x="f89" y="f90"/>
              </a:moveTo>
              <a:arcTo wR="f10" hR="f10" stAng="f27" swAng="f38"/>
              <a:close/>
            </a:path>
          </a:pathLst>
        </a:custGeom>
        <a:solidFill>
          <a:srgbClr val="C00000"/>
        </a:solidFill>
        <a:ln w="6483" cap="flat">
          <a:solidFill>
            <a:srgbClr val="C00000"/>
          </a:solidFill>
          <a:prstDash val="solid"/>
          <a:miter/>
        </a:ln>
      </xdr:spPr>
      <xdr:txBody>
        <a:bodyPr vert="horz" wrap="square" lIns="90004" tIns="44997" rIns="90004" bIns="44997" anchor="ctr" anchorCtr="1" compatLnSpc="0">
          <a:noAutofit/>
        </a:bodyPr>
        <a:lstStyle/>
        <a:p>
          <a:pPr marL="0" marR="0" lvl="0" indent="0" algn="ctr" defTabSz="914400" rtl="0" fontAlgn="auto" hangingPunct="0">
            <a:lnSpc>
              <a:spcPct val="100000"/>
            </a:lnSpc>
            <a:spcBef>
              <a:spcPts val="0"/>
            </a:spcBef>
            <a:spcAft>
              <a:spcPts val="0"/>
            </a:spcAft>
            <a:buNone/>
            <a:defRPr sz="1800" b="0" i="0" u="none" strike="noStrike" kern="0" cap="none" spc="0" baseline="0">
              <a:solidFill>
                <a:srgbClr val="000000"/>
              </a:solidFill>
              <a:uFillTx/>
            </a:defRPr>
          </a:pPr>
          <a:r>
            <a:rPr lang="pt-BR" sz="1800" b="1" i="0" u="none" strike="noStrike" kern="1200" cap="none" spc="0" baseline="0">
              <a:solidFill>
                <a:srgbClr val="FFFFFF"/>
              </a:solidFill>
              <a:uFillTx/>
              <a:latin typeface="Calibri" panose="020F0502020204030204" pitchFamily="18"/>
            </a:rPr>
            <a:t>3</a:t>
          </a:r>
          <a:endParaRPr lang="pt-BR" sz="1800" b="1" i="0" u="none" strike="noStrike" kern="1200" cap="none" spc="0" baseline="0">
            <a:solidFill>
              <a:srgbClr val="FFFFFF"/>
            </a:solidFill>
            <a:uFillTx/>
            <a:latin typeface="Calibri" panose="020F0502020204030204" pitchFamily="18"/>
          </a:endParaRPr>
        </a:p>
      </xdr:txBody>
    </xdr:sp>
    <xdr:clientData/>
  </xdr:oneCellAnchor>
  <xdr:oneCellAnchor>
    <xdr:from>
      <xdr:col>12</xdr:col>
      <xdr:colOff>1017718</xdr:colOff>
      <xdr:row>5</xdr:row>
      <xdr:rowOff>356</xdr:rowOff>
    </xdr:from>
    <xdr:ext cx="294839" cy="304559"/>
    <xdr:sp>
      <xdr:nvSpPr>
        <xdr:cNvPr id="5" name="Fluxograma: Conector 9"/>
        <xdr:cNvSpPr/>
      </xdr:nvSpPr>
      <xdr:spPr>
        <a:xfrm>
          <a:off x="9627870" y="1009650"/>
          <a:ext cx="295275" cy="304800"/>
        </a:xfrm>
        <a:custGeom>
          <a:avLst/>
          <a:gdLst>
            <a:gd name="f0" fmla="val 10800000"/>
            <a:gd name="f1" fmla="val 5400000"/>
            <a:gd name="f2" fmla="val 180"/>
            <a:gd name="f3" fmla="val w"/>
            <a:gd name="f4" fmla="val h"/>
            <a:gd name="f5" fmla="val 0"/>
            <a:gd name="f6" fmla="val 21600"/>
            <a:gd name="f7" fmla="*/ 5419351 1 1725033"/>
            <a:gd name="f8" fmla="*/ 10800 10800 1"/>
            <a:gd name="f9" fmla="+- 0 0 360"/>
            <a:gd name="f10" fmla="val 10800"/>
            <a:gd name="f11" fmla="+- 0 0 0"/>
            <a:gd name="f12" fmla="*/ f3 1 21600"/>
            <a:gd name="f13" fmla="*/ f4 1 21600"/>
            <a:gd name="f14" fmla="val f5"/>
            <a:gd name="f15" fmla="val f6"/>
            <a:gd name="f16" fmla="*/ 0 f7 1"/>
            <a:gd name="f17" fmla="*/ f5 f0 1"/>
            <a:gd name="f18" fmla="*/ f9 f0 1"/>
            <a:gd name="f19" fmla="*/ f11 f0 1"/>
            <a:gd name="f20" fmla="+- f15 0 f14"/>
            <a:gd name="f21" fmla="*/ f16 1 f2"/>
            <a:gd name="f22" fmla="*/ f17 1 f2"/>
            <a:gd name="f23" fmla="*/ f18 1 f2"/>
            <a:gd name="f24" fmla="*/ f19 1 f2"/>
            <a:gd name="f25" fmla="*/ f20 1 21600"/>
            <a:gd name="f26" fmla="+- 0 0 f21"/>
            <a:gd name="f27" fmla="+- f22 0 f1"/>
            <a:gd name="f28" fmla="+- f23 0 f1"/>
            <a:gd name="f29" fmla="+- f24 0 f1"/>
            <a:gd name="f30" fmla="*/ 3180 f25 1"/>
            <a:gd name="f31" fmla="*/ 18420 f25 1"/>
            <a:gd name="f32" fmla="*/ 10800 f25 1"/>
            <a:gd name="f33" fmla="*/ 0 f25 1"/>
            <a:gd name="f34" fmla="*/ 3163 f25 1"/>
            <a:gd name="f35" fmla="*/ 18437 f25 1"/>
            <a:gd name="f36" fmla="*/ 21600 f25 1"/>
            <a:gd name="f37" fmla="*/ f26 f0 1"/>
            <a:gd name="f38" fmla="+- f28 0 f27"/>
            <a:gd name="f39" fmla="*/ f37 1 f7"/>
            <a:gd name="f40" fmla="*/ f32 1 f25"/>
            <a:gd name="f41" fmla="*/ f33 1 f25"/>
            <a:gd name="f42" fmla="*/ f34 1 f25"/>
            <a:gd name="f43" fmla="*/ f35 1 f25"/>
            <a:gd name="f44" fmla="*/ f36 1 f25"/>
            <a:gd name="f45" fmla="*/ f30 1 f25"/>
            <a:gd name="f46" fmla="*/ f31 1 f25"/>
            <a:gd name="f47" fmla="+- f39 0 f1"/>
            <a:gd name="f48" fmla="*/ f45 f12 1"/>
            <a:gd name="f49" fmla="*/ f46 f12 1"/>
            <a:gd name="f50" fmla="*/ f46 f13 1"/>
            <a:gd name="f51" fmla="*/ f45 f13 1"/>
            <a:gd name="f52" fmla="*/ f40 f12 1"/>
            <a:gd name="f53" fmla="*/ f41 f13 1"/>
            <a:gd name="f54" fmla="*/ f42 f12 1"/>
            <a:gd name="f55" fmla="*/ f42 f13 1"/>
            <a:gd name="f56" fmla="*/ f41 f12 1"/>
            <a:gd name="f57" fmla="*/ f40 f13 1"/>
            <a:gd name="f58" fmla="*/ f43 f13 1"/>
            <a:gd name="f59" fmla="*/ f44 f13 1"/>
            <a:gd name="f60" fmla="*/ f43 f12 1"/>
            <a:gd name="f61" fmla="*/ f44 f12 1"/>
            <a:gd name="f62" fmla="+- f47 f1 0"/>
            <a:gd name="f63" fmla="*/ f62 f7 1"/>
            <a:gd name="f64" fmla="*/ f63 1 f0"/>
            <a:gd name="f65" fmla="+- 0 0 f64"/>
            <a:gd name="f66" fmla="+- 0 0 f65"/>
            <a:gd name="f67" fmla="*/ f66 f0 1"/>
            <a:gd name="f68" fmla="*/ f67 1 f7"/>
            <a:gd name="f69" fmla="+- f68 0 f1"/>
            <a:gd name="f70" fmla="cos 1 f69"/>
            <a:gd name="f71" fmla="sin 1 f69"/>
            <a:gd name="f72" fmla="+- 0 0 f70"/>
            <a:gd name="f73" fmla="+- 0 0 f71"/>
            <a:gd name="f74" fmla="+- 0 0 f72"/>
            <a:gd name="f75" fmla="+- 0 0 f73"/>
            <a:gd name="f76" fmla="val f74"/>
            <a:gd name="f77" fmla="val f75"/>
            <a:gd name="f78" fmla="+- 0 0 f76"/>
            <a:gd name="f79" fmla="+- 0 0 f77"/>
            <a:gd name="f80" fmla="*/ 10800 f78 1"/>
            <a:gd name="f81" fmla="*/ 10800 f79 1"/>
            <a:gd name="f82" fmla="*/ f80 f80 1"/>
            <a:gd name="f83" fmla="*/ f81 f81 1"/>
            <a:gd name="f84" fmla="+- f82 f83 0"/>
            <a:gd name="f85" fmla="sqrt f84"/>
            <a:gd name="f86" fmla="*/ f8 1 f85"/>
            <a:gd name="f87" fmla="*/ f78 f86 1"/>
            <a:gd name="f88" fmla="*/ f79 f86 1"/>
            <a:gd name="f89" fmla="+- 10800 0 f87"/>
            <a:gd name="f90" fmla="+- 10800 0 f88"/>
          </a:gdLst>
          <a:ahLst/>
          <a:cxnLst>
            <a:cxn ang="3">
              <a:pos x="hc" y="t"/>
            </a:cxn>
            <a:cxn ang="0">
              <a:pos x="r" y="vc"/>
            </a:cxn>
            <a:cxn ang="cd4">
              <a:pos x="hc" y="b"/>
            </a:cxn>
            <a:cxn ang="cd2">
              <a:pos x="l" y="vc"/>
            </a:cxn>
            <a:cxn ang="f29">
              <a:pos x="f52" y="f53"/>
            </a:cxn>
            <a:cxn ang="f29">
              <a:pos x="f54" y="f55"/>
            </a:cxn>
            <a:cxn ang="f29">
              <a:pos x="f56" y="f57"/>
            </a:cxn>
            <a:cxn ang="f29">
              <a:pos x="f54" y="f58"/>
            </a:cxn>
            <a:cxn ang="f29">
              <a:pos x="f52" y="f59"/>
            </a:cxn>
            <a:cxn ang="f29">
              <a:pos x="f60" y="f58"/>
            </a:cxn>
            <a:cxn ang="f29">
              <a:pos x="f61" y="f57"/>
            </a:cxn>
            <a:cxn ang="f29">
              <a:pos x="f60" y="f55"/>
            </a:cxn>
          </a:cxnLst>
          <a:rect l="f48" t="f51" r="f49" b="f50"/>
          <a:pathLst>
            <a:path w="21600" h="21600">
              <a:moveTo>
                <a:pt x="f89" y="f90"/>
              </a:moveTo>
              <a:arcTo wR="f10" hR="f10" stAng="f27" swAng="f38"/>
              <a:close/>
            </a:path>
          </a:pathLst>
        </a:custGeom>
        <a:solidFill>
          <a:srgbClr val="C00000"/>
        </a:solidFill>
        <a:ln w="6483" cap="flat">
          <a:solidFill>
            <a:srgbClr val="C00000"/>
          </a:solidFill>
          <a:prstDash val="solid"/>
          <a:miter/>
        </a:ln>
      </xdr:spPr>
      <xdr:txBody>
        <a:bodyPr vert="horz" wrap="square" lIns="90004" tIns="44997" rIns="90004" bIns="44997" anchor="ctr" anchorCtr="1" compatLnSpc="0">
          <a:noAutofit/>
        </a:bodyPr>
        <a:lstStyle/>
        <a:p>
          <a:pPr marL="0" marR="0" lvl="0" indent="0" algn="ctr" defTabSz="914400" rtl="0" fontAlgn="auto" hangingPunct="0">
            <a:lnSpc>
              <a:spcPct val="100000"/>
            </a:lnSpc>
            <a:spcBef>
              <a:spcPts val="0"/>
            </a:spcBef>
            <a:spcAft>
              <a:spcPts val="0"/>
            </a:spcAft>
            <a:buNone/>
            <a:defRPr sz="1800" b="0" i="0" u="none" strike="noStrike" kern="0" cap="none" spc="0" baseline="0">
              <a:solidFill>
                <a:srgbClr val="000000"/>
              </a:solidFill>
              <a:uFillTx/>
            </a:defRPr>
          </a:pPr>
          <a:r>
            <a:rPr lang="pt-BR" sz="1800" b="1" i="0" u="none" strike="noStrike" kern="1200" cap="none" spc="0" baseline="0">
              <a:solidFill>
                <a:srgbClr val="FFFFFF"/>
              </a:solidFill>
              <a:uFillTx/>
              <a:latin typeface="Calibri" panose="020F0502020204030204" pitchFamily="18"/>
            </a:rPr>
            <a:t>4</a:t>
          </a:r>
          <a:endParaRPr lang="pt-BR" sz="1800" b="1" i="0" u="none" strike="noStrike" kern="1200" cap="none" spc="0" baseline="0">
            <a:solidFill>
              <a:srgbClr val="FFFFFF"/>
            </a:solidFill>
            <a:uFillTx/>
            <a:latin typeface="Calibri" panose="020F0502020204030204" pitchFamily="18"/>
          </a:endParaRPr>
        </a:p>
      </xdr:txBody>
    </xdr:sp>
    <xdr:clientData/>
  </xdr:oneCellAnchor>
</xdr:wsDr>
</file>

<file path=xl/drawings/drawing3.xml><?xml version="1.0" encoding="utf-8"?>
<xdr:wsDr xmlns:xdr="http://schemas.openxmlformats.org/drawingml/2006/spreadsheetDrawing" xmlns:r="http://schemas.openxmlformats.org/officeDocument/2006/relationships" xmlns:a="http://schemas.openxmlformats.org/drawingml/2006/main">
  <xdr:oneCellAnchor>
    <xdr:from>
      <xdr:col>4</xdr:col>
      <xdr:colOff>188997</xdr:colOff>
      <xdr:row>18</xdr:row>
      <xdr:rowOff>86758</xdr:rowOff>
    </xdr:from>
    <xdr:ext cx="6786722" cy="396962"/>
    <xdr:sp>
      <xdr:nvSpPr>
        <xdr:cNvPr id="7" name="Retângulo: Cantos Arredondados 2"/>
        <xdr:cNvSpPr/>
      </xdr:nvSpPr>
      <xdr:spPr>
        <a:xfrm>
          <a:off x="5674995" y="3618230"/>
          <a:ext cx="6786880" cy="396875"/>
        </a:xfrm>
        <a:custGeom>
          <a:avLst>
            <a:gd name="f10" fmla="val 3600"/>
          </a:avLst>
          <a:gdLst>
            <a:gd name="f1" fmla="val 10800000"/>
            <a:gd name="f2" fmla="val 5400000"/>
            <a:gd name="f3" fmla="val 16200000"/>
            <a:gd name="f4" fmla="val w"/>
            <a:gd name="f5" fmla="val h"/>
            <a:gd name="f6" fmla="val ss"/>
            <a:gd name="f7" fmla="val 0"/>
            <a:gd name="f8" fmla="*/ 5419351 1 1725033"/>
            <a:gd name="f9" fmla="val 45"/>
            <a:gd name="f10-1" fmla="val 3600"/>
            <a:gd name="f11" fmla="abs f4"/>
            <a:gd name="f12" fmla="abs f5"/>
            <a:gd name="f13" fmla="abs f6"/>
            <a:gd name="f14" fmla="*/ f8 1 180"/>
            <a:gd name="f15" fmla="val f10-1"/>
            <a:gd name="f16" fmla="+- 0 0 f2"/>
            <a:gd name="f17" fmla="?: f11 f4 1"/>
            <a:gd name="f18" fmla="?: f12 f5 1"/>
            <a:gd name="f19" fmla="?: f13 f6 1"/>
            <a:gd name="f20" fmla="*/ f9 f14 1"/>
            <a:gd name="f21" fmla="+- f7 f15 0"/>
            <a:gd name="f22" fmla="*/ f17 1 21600"/>
            <a:gd name="f23" fmla="*/ f18 1 21600"/>
            <a:gd name="f24" fmla="*/ 21600 f17 1"/>
            <a:gd name="f25" fmla="*/ 21600 f18 1"/>
            <a:gd name="f26" fmla="+- 0 0 f20"/>
            <a:gd name="f27" fmla="+- f7 0 f21"/>
            <a:gd name="f28" fmla="+- f21 0 f7"/>
            <a:gd name="f29" fmla="min f23 f22"/>
            <a:gd name="f30" fmla="*/ f24 1 f19"/>
            <a:gd name="f31" fmla="*/ f25 1 f19"/>
            <a:gd name="f32" fmla="*/ f26 f1 1"/>
            <a:gd name="f33" fmla="abs f27"/>
            <a:gd name="f34" fmla="abs f28"/>
            <a:gd name="f35" fmla="?: f27 f16 f2"/>
            <a:gd name="f36" fmla="?: f27 f2 f16"/>
            <a:gd name="f37" fmla="?: f27 f3 f2"/>
            <a:gd name="f38" fmla="?: f27 f2 f3"/>
            <a:gd name="f39" fmla="?: f28 f16 f2"/>
            <a:gd name="f40" fmla="?: f28 f2 f16"/>
            <a:gd name="f41" fmla="?: f27 0 f1"/>
            <a:gd name="f42" fmla="?: f27 f1 0"/>
            <a:gd name="f43" fmla="val f30"/>
            <a:gd name="f44" fmla="val f31"/>
            <a:gd name="f45" fmla="*/ f32 1 f8"/>
            <a:gd name="f46" fmla="?: f27 f38 f37"/>
            <a:gd name="f47" fmla="?: f27 f37 f38"/>
            <a:gd name="f48" fmla="?: f28 f36 f35"/>
            <a:gd name="f49" fmla="*/ f21 f29 1"/>
            <a:gd name="f50" fmla="*/ f7 f29 1"/>
            <a:gd name="f51" fmla="*/ f33 f29 1"/>
            <a:gd name="f52" fmla="*/ f34 f29 1"/>
            <a:gd name="f53" fmla="+- f44 0 f15"/>
            <a:gd name="f54" fmla="+- f43 0 f15"/>
            <a:gd name="f55" fmla="+- f45 0 f2"/>
            <a:gd name="f56" fmla="?: f28 f47 f46"/>
            <a:gd name="f57" fmla="*/ f44 f29 1"/>
            <a:gd name="f58" fmla="*/ f43 f29 1"/>
            <a:gd name="f59" fmla="+- f55 f2 0"/>
            <a:gd name="f60" fmla="+- f44 0 f53"/>
            <a:gd name="f61" fmla="+- f43 0 f54"/>
            <a:gd name="f62" fmla="+- f53 0 f44"/>
            <a:gd name="f63" fmla="+- f54 0 f43"/>
            <a:gd name="f64" fmla="*/ f53 f29 1"/>
            <a:gd name="f65" fmla="*/ f54 f29 1"/>
            <a:gd name="f66" fmla="*/ f59 f8 1"/>
            <a:gd name="f67" fmla="abs f60"/>
            <a:gd name="f68" fmla="?: f60 0 f1"/>
            <a:gd name="f69" fmla="?: f60 f1 0"/>
            <a:gd name="f70" fmla="?: f60 f39 f40"/>
            <a:gd name="f71" fmla="abs f61"/>
            <a:gd name="f72" fmla="abs f62"/>
            <a:gd name="f73" fmla="?: f61 f16 f2"/>
            <a:gd name="f74" fmla="?: f61 f2 f16"/>
            <a:gd name="f75" fmla="?: f61 f3 f2"/>
            <a:gd name="f76" fmla="?: f61 f2 f3"/>
            <a:gd name="f77" fmla="abs f63"/>
            <a:gd name="f78" fmla="?: f63 f16 f2"/>
            <a:gd name="f79" fmla="?: f63 f2 f16"/>
            <a:gd name="f80" fmla="?: f63 f42 f41"/>
            <a:gd name="f81" fmla="?: f63 f41 f42"/>
            <a:gd name="f82" fmla="*/ f66 1 f1"/>
            <a:gd name="f83" fmla="?: f28 f69 f68"/>
            <a:gd name="f84" fmla="?: f28 f68 f69"/>
            <a:gd name="f85" fmla="?: f61 f76 f75"/>
            <a:gd name="f86" fmla="?: f61 f75 f76"/>
            <a:gd name="f87" fmla="?: f62 f74 f73"/>
            <a:gd name="f88" fmla="?: f27 f80 f81"/>
            <a:gd name="f89" fmla="?: f27 f78 f79"/>
            <a:gd name="f90" fmla="*/ f67 f29 1"/>
            <a:gd name="f91" fmla="*/ f71 f29 1"/>
            <a:gd name="f92" fmla="*/ f72 f29 1"/>
            <a:gd name="f93" fmla="*/ f77 f29 1"/>
            <a:gd name="f94" fmla="+- 0 0 f82"/>
            <a:gd name="f95" fmla="?: f60 f83 f84"/>
            <a:gd name="f96" fmla="?: f62 f86 f85"/>
            <a:gd name="f97" fmla="+- 0 0 f94"/>
            <a:gd name="f98" fmla="*/ f97 f1 1"/>
            <a:gd name="f99" fmla="*/ f98 1 f8"/>
            <a:gd name="f100" fmla="+- f99 0 f2"/>
            <a:gd name="f101" fmla="cos 1 f100"/>
            <a:gd name="f102" fmla="+- 0 0 f101"/>
            <a:gd name="f103" fmla="+- 0 0 f102"/>
            <a:gd name="f104" fmla="val f103"/>
            <a:gd name="f105" fmla="+- 0 0 f104"/>
            <a:gd name="f106" fmla="*/ f15 f105 1"/>
            <a:gd name="f107" fmla="*/ f106 3163 1"/>
            <a:gd name="f108" fmla="*/ f107 1 7636"/>
            <a:gd name="f109" fmla="+- f7 f108 0"/>
            <a:gd name="f110" fmla="+- f43 0 f108"/>
            <a:gd name="f111" fmla="+- f44 0 f108"/>
            <a:gd name="f112" fmla="*/ f109 f29 1"/>
            <a:gd name="f113" fmla="*/ f110 f29 1"/>
            <a:gd name="f114" fmla="*/ f111 f29 1"/>
          </a:gdLst>
          <a:ahLst/>
          <a:cxnLst>
            <a:cxn ang="3">
              <a:pos x="hc" y="t"/>
            </a:cxn>
            <a:cxn ang="0">
              <a:pos x="r" y="vc"/>
            </a:cxn>
            <a:cxn ang="cd4">
              <a:pos x="hc" y="b"/>
            </a:cxn>
            <a:cxn ang="cd2">
              <a:pos x="l" y="vc"/>
            </a:cxn>
          </a:cxnLst>
          <a:rect l="f112" t="f112" r="f113" b="f114"/>
          <a:pathLst>
            <a:path>
              <a:moveTo>
                <a:pt x="f49" y="f50"/>
              </a:moveTo>
              <a:arcTo wR="f51" hR="f52" stAng="f56" swAng="f48"/>
              <a:lnTo>
                <a:pt x="f50" y="f64"/>
              </a:lnTo>
              <a:arcTo wR="f52" hR="f90" stAng="f95" swAng="f70"/>
              <a:lnTo>
                <a:pt x="f65" y="f57"/>
              </a:lnTo>
              <a:arcTo wR="f91" hR="f92" stAng="f96" swAng="f87"/>
              <a:lnTo>
                <a:pt x="f58" y="f49"/>
              </a:lnTo>
              <a:arcTo wR="f93" hR="f51" stAng="f88" swAng="f89"/>
              <a:close/>
            </a:path>
          </a:pathLst>
        </a:custGeom>
        <a:solidFill>
          <a:srgbClr val="C00000"/>
        </a:solidFill>
        <a:ln w="25557" cap="flat">
          <a:solidFill>
            <a:srgbClr val="3A5F8B"/>
          </a:solidFill>
          <a:prstDash val="solid"/>
          <a:miter/>
        </a:ln>
      </xdr:spPr>
      <xdr:txBody>
        <a:bodyPr vert="horz" wrap="square" lIns="90004" tIns="44997" rIns="90004" bIns="44997" anchor="t" anchorCtr="0" compatLnSpc="0">
          <a:noAutofit/>
        </a:bodyPr>
        <a:lstStyle/>
        <a:p>
          <a:pPr marL="0" marR="0" lvl="0" indent="0" algn="l" defTabSz="914400" rtl="0" fontAlgn="auto" hangingPunct="0">
            <a:lnSpc>
              <a:spcPct val="100000"/>
            </a:lnSpc>
            <a:spcBef>
              <a:spcPts val="0"/>
            </a:spcBef>
            <a:spcAft>
              <a:spcPts val="0"/>
            </a:spcAft>
            <a:buNone/>
            <a:defRPr sz="1800" b="0" i="0" u="none" strike="noStrike" kern="0" cap="none" spc="0" baseline="0">
              <a:solidFill>
                <a:srgbClr val="000000"/>
              </a:solidFill>
              <a:uFillTx/>
            </a:defRPr>
          </a:pPr>
          <a:r>
            <a:rPr lang="pt-BR" sz="1600" b="0" i="0" u="none" strike="noStrike" kern="1200" cap="none" spc="0" baseline="0">
              <a:solidFill>
                <a:srgbClr val="FFFFFF"/>
              </a:solidFill>
              <a:uFillTx/>
              <a:latin typeface="Calibri" panose="020F0502020204030204" pitchFamily="18"/>
            </a:rPr>
            <a:t>Observar a capacidade do time para dimensionar o esforço nos sprints.</a:t>
          </a:r>
          <a:endParaRPr lang="pt-BR" sz="1600" b="0" i="0" u="none" strike="noStrike" kern="1200" cap="none" spc="0" baseline="0">
            <a:solidFill>
              <a:srgbClr val="FFFFFF"/>
            </a:solidFill>
            <a:uFillTx/>
            <a:latin typeface="Calibri" panose="020F0502020204030204" pitchFamily="18"/>
          </a:endParaRPr>
        </a:p>
      </xdr:txBody>
    </xdr:sp>
    <xdr:clientData/>
  </xdr:oneCellAnchor>
  <xdr:oneCellAnchor>
    <xdr:from>
      <xdr:col>1</xdr:col>
      <xdr:colOff>957596</xdr:colOff>
      <xdr:row>7</xdr:row>
      <xdr:rowOff>192243</xdr:rowOff>
    </xdr:from>
    <xdr:ext cx="4646523" cy="1382365"/>
    <xdr:cxnSp>
      <xdr:nvCxnSpPr>
        <xdr:cNvPr id="2" name="Conector de Seta Reta 5"/>
        <xdr:cNvCxnSpPr/>
      </xdr:nvCxnSpPr>
      <xdr:spPr>
        <a:xfrm flipH="1" flipV="1">
          <a:off x="4424680" y="1574800"/>
          <a:ext cx="4646295" cy="1382395"/>
        </a:xfrm>
        <a:prstGeom prst="bentConnector3">
          <a:avLst/>
        </a:prstGeom>
        <a:noFill/>
        <a:ln w="9363" cap="flat">
          <a:solidFill>
            <a:srgbClr val="4A7EBB"/>
          </a:solidFill>
          <a:prstDash val="solid"/>
          <a:miter/>
          <a:tailEnd type="arrow"/>
        </a:ln>
      </xdr:spPr>
    </xdr:cxnSp>
    <xdr:clientData/>
  </xdr:oneCellAnchor>
  <xdr:oneCellAnchor>
    <xdr:from>
      <xdr:col>5</xdr:col>
      <xdr:colOff>514075</xdr:colOff>
      <xdr:row>13</xdr:row>
      <xdr:rowOff>192243</xdr:rowOff>
    </xdr:from>
    <xdr:ext cx="1194847" cy="256867"/>
    <xdr:cxnSp>
      <xdr:nvCxnSpPr>
        <xdr:cNvPr id="3" name="Conector de Seta Reta 6"/>
        <xdr:cNvCxnSpPr/>
      </xdr:nvCxnSpPr>
      <xdr:spPr>
        <a:xfrm flipH="1" flipV="1">
          <a:off x="7895590" y="2748280"/>
          <a:ext cx="1195070" cy="257175"/>
        </a:xfrm>
        <a:prstGeom prst="bentConnector3">
          <a:avLst/>
        </a:prstGeom>
        <a:noFill/>
        <a:ln w="9363" cap="flat">
          <a:solidFill>
            <a:srgbClr val="4A7EBB"/>
          </a:solidFill>
          <a:prstDash val="solid"/>
          <a:miter/>
          <a:tailEnd type="arrow"/>
        </a:ln>
      </xdr:spPr>
    </xdr:cxnSp>
    <xdr:clientData/>
  </xdr:oneCellAnchor>
  <xdr:oneCellAnchor>
    <xdr:from>
      <xdr:col>7</xdr:col>
      <xdr:colOff>493922</xdr:colOff>
      <xdr:row>13</xdr:row>
      <xdr:rowOff>192243</xdr:rowOff>
    </xdr:from>
    <xdr:ext cx="165598" cy="256867"/>
    <xdr:cxnSp>
      <xdr:nvCxnSpPr>
        <xdr:cNvPr id="4" name="Conector de Seta Reta 9"/>
        <xdr:cNvCxnSpPr/>
      </xdr:nvCxnSpPr>
      <xdr:spPr>
        <a:xfrm flipH="1" flipV="1">
          <a:off x="8923020" y="2748280"/>
          <a:ext cx="165735" cy="257175"/>
        </a:xfrm>
        <a:prstGeom prst="bentConnector3">
          <a:avLst/>
        </a:prstGeom>
        <a:noFill/>
        <a:ln w="9363" cap="flat">
          <a:solidFill>
            <a:srgbClr val="4A7EBB"/>
          </a:solidFill>
          <a:prstDash val="solid"/>
          <a:miter/>
          <a:tailEnd type="arrow"/>
        </a:ln>
      </xdr:spPr>
    </xdr:cxnSp>
    <xdr:clientData/>
  </xdr:oneCellAnchor>
  <xdr:oneCellAnchor>
    <xdr:from>
      <xdr:col>9</xdr:col>
      <xdr:colOff>475</xdr:colOff>
      <xdr:row>13</xdr:row>
      <xdr:rowOff>192243</xdr:rowOff>
    </xdr:from>
    <xdr:ext cx="370442" cy="256867"/>
    <xdr:cxnSp>
      <xdr:nvCxnSpPr>
        <xdr:cNvPr id="5" name="Conector de Seta Reta 12"/>
        <xdr:cNvCxnSpPr/>
      </xdr:nvCxnSpPr>
      <xdr:spPr>
        <a:xfrm flipV="1">
          <a:off x="9458325" y="2748280"/>
          <a:ext cx="370840" cy="257175"/>
        </a:xfrm>
        <a:prstGeom prst="bentConnector3">
          <a:avLst/>
        </a:prstGeom>
        <a:noFill/>
        <a:ln w="9363" cap="flat">
          <a:solidFill>
            <a:srgbClr val="4A7EBB"/>
          </a:solidFill>
          <a:prstDash val="solid"/>
          <a:miter/>
          <a:tailEnd type="arrow"/>
        </a:ln>
      </xdr:spPr>
    </xdr:cxnSp>
    <xdr:clientData/>
  </xdr:oneCellAnchor>
  <xdr:oneCellAnchor>
    <xdr:from>
      <xdr:col>9</xdr:col>
      <xdr:colOff>475</xdr:colOff>
      <xdr:row>13</xdr:row>
      <xdr:rowOff>192243</xdr:rowOff>
    </xdr:from>
    <xdr:ext cx="1625044" cy="256867"/>
    <xdr:cxnSp>
      <xdr:nvCxnSpPr>
        <xdr:cNvPr id="6" name="Conector de Seta Reta 15"/>
        <xdr:cNvCxnSpPr/>
      </xdr:nvCxnSpPr>
      <xdr:spPr>
        <a:xfrm flipV="1">
          <a:off x="9458325" y="2748280"/>
          <a:ext cx="1624965" cy="257175"/>
        </a:xfrm>
        <a:prstGeom prst="bentConnector3">
          <a:avLst/>
        </a:prstGeom>
        <a:noFill/>
        <a:ln w="9363" cap="flat">
          <a:solidFill>
            <a:srgbClr val="4A7EBB"/>
          </a:solidFill>
          <a:prstDash val="solid"/>
          <a:miter/>
          <a:tailEnd type="arrow"/>
        </a:ln>
      </xdr:spPr>
    </xdr:cxnSp>
    <xdr:clientData/>
  </xdr:one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7"/>
  <sheetViews>
    <sheetView tabSelected="1" workbookViewId="0">
      <selection activeCell="B7" sqref="B7"/>
    </sheetView>
  </sheetViews>
  <sheetFormatPr defaultColWidth="9" defaultRowHeight="14.4" outlineLevelCol="2"/>
  <cols>
    <col min="1" max="1" width="21.625" style="1" customWidth="1"/>
    <col min="2" max="2" width="44.75" style="1" customWidth="1"/>
    <col min="3" max="3" width="29.5" style="1" customWidth="1"/>
    <col min="4" max="1024" width="8.125" style="1" customWidth="1"/>
    <col min="1025" max="1025" width="9" customWidth="1"/>
  </cols>
  <sheetData>
    <row r="1" ht="20.4" spans="1:3">
      <c r="A1" s="154" t="s">
        <v>0</v>
      </c>
      <c r="B1" s="154"/>
      <c r="C1" s="154"/>
    </row>
    <row r="2" ht="24.6" spans="1:3">
      <c r="A2" s="155" t="s">
        <v>1</v>
      </c>
      <c r="B2" s="155"/>
      <c r="C2" s="155"/>
    </row>
    <row r="3" ht="15" spans="1:3">
      <c r="A3" s="156" t="s">
        <v>2</v>
      </c>
      <c r="B3" s="156" t="s">
        <v>3</v>
      </c>
      <c r="C3" s="156" t="s">
        <v>4</v>
      </c>
    </row>
    <row r="4" spans="1:3">
      <c r="A4" s="157" t="s">
        <v>5</v>
      </c>
      <c r="B4" s="157" t="s">
        <v>6</v>
      </c>
      <c r="C4" s="157"/>
    </row>
    <row r="5" spans="1:3">
      <c r="A5" s="157" t="s">
        <v>7</v>
      </c>
      <c r="B5" s="157" t="s">
        <v>8</v>
      </c>
      <c r="C5" s="157"/>
    </row>
    <row r="6" spans="1:3">
      <c r="A6" s="157" t="s">
        <v>9</v>
      </c>
      <c r="B6" s="157" t="s">
        <v>10</v>
      </c>
      <c r="C6" s="157"/>
    </row>
    <row r="7" spans="1:3">
      <c r="A7" s="157" t="s">
        <v>9</v>
      </c>
      <c r="B7" s="157" t="s">
        <v>11</v>
      </c>
      <c r="C7" s="157"/>
    </row>
    <row r="8" spans="1:3">
      <c r="A8" s="157" t="s">
        <v>9</v>
      </c>
      <c r="B8" s="157" t="s">
        <v>12</v>
      </c>
      <c r="C8" s="157"/>
    </row>
    <row r="9" spans="1:3">
      <c r="A9" s="157"/>
      <c r="B9" s="157"/>
      <c r="C9" s="157"/>
    </row>
    <row r="10" spans="1:3">
      <c r="A10" s="157"/>
      <c r="B10" s="157"/>
      <c r="C10" s="157"/>
    </row>
    <row r="11" spans="1:3">
      <c r="A11" s="157"/>
      <c r="B11" s="157"/>
      <c r="C11" s="157"/>
    </row>
    <row r="12" spans="1:3">
      <c r="A12" s="157"/>
      <c r="B12" s="157"/>
      <c r="C12" s="157"/>
    </row>
    <row r="13" spans="1:3">
      <c r="A13" s="157"/>
      <c r="B13" s="157"/>
      <c r="C13" s="157"/>
    </row>
    <row r="14" spans="1:3">
      <c r="A14" s="157"/>
      <c r="B14" s="157"/>
      <c r="C14" s="157"/>
    </row>
    <row r="15" spans="1:3">
      <c r="A15" s="157"/>
      <c r="B15" s="157"/>
      <c r="C15" s="157"/>
    </row>
    <row r="16" spans="1:3">
      <c r="A16" s="157"/>
      <c r="B16" s="157"/>
      <c r="C16" s="157"/>
    </row>
    <row r="17" spans="1:3">
      <c r="A17" s="157"/>
      <c r="B17" s="157"/>
      <c r="C17" s="157"/>
    </row>
  </sheetData>
  <mergeCells count="2">
    <mergeCell ref="A1:C1"/>
    <mergeCell ref="A2:C2"/>
  </mergeCells>
  <pageMargins left="0.511811023622047" right="0.511811023622047" top="1.18110236220472" bottom="1.18110236220472" header="0.78740157480315" footer="0.78740157480315"/>
  <pageSetup paperSize="9" fitToWidth="0" fitToHeight="0" orientation="portrait"/>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42"/>
  <sheetViews>
    <sheetView workbookViewId="0">
      <selection activeCell="N6" sqref="N6"/>
    </sheetView>
  </sheetViews>
  <sheetFormatPr defaultColWidth="9" defaultRowHeight="14.4"/>
  <cols>
    <col min="1" max="1" width="10.25" style="90" customWidth="1"/>
    <col min="2" max="2" width="11.625" style="41" customWidth="1"/>
    <col min="3" max="3" width="64.25" style="41" customWidth="1"/>
    <col min="4" max="4" width="8.75" style="131" customWidth="1"/>
    <col min="5" max="5" width="1.625" style="41" customWidth="1"/>
    <col min="6" max="6" width="4.25" style="41" customWidth="1"/>
    <col min="7" max="7" width="18.875" style="41" customWidth="1"/>
    <col min="8" max="9" width="8.5" style="41" customWidth="1"/>
    <col min="10" max="10" width="10.75" style="41" customWidth="1"/>
    <col min="11" max="11" width="11.875" style="41" customWidth="1"/>
    <col min="12" max="1024" width="8.5" style="41" customWidth="1"/>
    <col min="1025" max="1025" width="9" customWidth="1"/>
  </cols>
  <sheetData>
    <row r="1" ht="12" customHeight="1" spans="1:12">
      <c r="A1" s="132" t="s">
        <v>13</v>
      </c>
      <c r="B1" s="132"/>
      <c r="C1" s="132"/>
      <c r="D1" s="132"/>
      <c r="F1" s="133" t="s">
        <v>14</v>
      </c>
      <c r="G1" s="133"/>
      <c r="H1" s="133"/>
      <c r="I1" s="133"/>
      <c r="J1" s="133"/>
      <c r="K1" s="133"/>
      <c r="L1" s="133"/>
    </row>
    <row r="2" ht="42" customHeight="1" spans="1:12">
      <c r="A2" s="134" t="s">
        <v>15</v>
      </c>
      <c r="B2" s="134"/>
      <c r="C2" s="134"/>
      <c r="D2" s="134"/>
      <c r="F2" s="135" t="s">
        <v>16</v>
      </c>
      <c r="G2" s="135"/>
      <c r="H2" s="135"/>
      <c r="I2" s="135"/>
      <c r="J2" s="135"/>
      <c r="K2" s="135"/>
      <c r="L2" s="135"/>
    </row>
    <row r="3" ht="24" customHeight="1" spans="1:12">
      <c r="A3" s="136" t="s">
        <v>17</v>
      </c>
      <c r="B3" s="136" t="s">
        <v>18</v>
      </c>
      <c r="C3" s="136" t="s">
        <v>19</v>
      </c>
      <c r="D3" s="136" t="s">
        <v>20</v>
      </c>
      <c r="F3" s="136" t="s">
        <v>17</v>
      </c>
      <c r="G3" s="137" t="s">
        <v>21</v>
      </c>
      <c r="H3" s="136" t="s">
        <v>14</v>
      </c>
      <c r="I3" s="136"/>
      <c r="J3" s="136"/>
      <c r="K3" s="136"/>
      <c r="L3" s="136"/>
    </row>
    <row r="4" ht="24" customHeight="1" spans="1:12">
      <c r="A4" s="138" t="s">
        <v>22</v>
      </c>
      <c r="B4" s="138"/>
      <c r="C4" s="138"/>
      <c r="D4" s="139" t="s">
        <v>23</v>
      </c>
      <c r="F4" s="140" t="s">
        <v>24</v>
      </c>
      <c r="G4" s="140" t="s">
        <v>25</v>
      </c>
      <c r="H4" s="139" t="s">
        <v>26</v>
      </c>
      <c r="I4" s="139" t="s">
        <v>27</v>
      </c>
      <c r="J4" s="139" t="s">
        <v>28</v>
      </c>
      <c r="K4" s="138" t="s">
        <v>29</v>
      </c>
      <c r="L4" s="139" t="s">
        <v>30</v>
      </c>
    </row>
    <row r="5" spans="1:12">
      <c r="A5" s="141">
        <v>1</v>
      </c>
      <c r="B5" s="142" t="s">
        <v>22</v>
      </c>
      <c r="C5" s="143" t="s">
        <v>31</v>
      </c>
      <c r="D5" s="144">
        <v>10</v>
      </c>
      <c r="F5" s="145">
        <v>1</v>
      </c>
      <c r="G5" s="143" t="s">
        <v>32</v>
      </c>
      <c r="H5" s="146">
        <v>3</v>
      </c>
      <c r="I5" s="146">
        <v>10</v>
      </c>
      <c r="J5" s="146">
        <v>10</v>
      </c>
      <c r="K5" s="146">
        <v>3</v>
      </c>
      <c r="L5" s="152">
        <f t="shared" ref="L5:L7" si="0">SUM(H5:K5)</f>
        <v>26</v>
      </c>
    </row>
    <row r="6" ht="13.8" spans="1:12">
      <c r="A6" s="141">
        <v>2</v>
      </c>
      <c r="B6" s="142" t="s">
        <v>22</v>
      </c>
      <c r="C6" s="143" t="s">
        <v>33</v>
      </c>
      <c r="D6" s="144">
        <v>10</v>
      </c>
      <c r="F6" s="145">
        <v>2</v>
      </c>
      <c r="G6" s="143" t="s">
        <v>34</v>
      </c>
      <c r="H6" s="146">
        <v>8</v>
      </c>
      <c r="I6" s="146">
        <v>5</v>
      </c>
      <c r="J6" s="146">
        <v>5</v>
      </c>
      <c r="K6" s="146">
        <v>7</v>
      </c>
      <c r="L6" s="153">
        <f>SUM(H6:K6)</f>
        <v>25</v>
      </c>
    </row>
    <row r="7" ht="13.8" spans="1:12">
      <c r="A7" s="141">
        <v>3</v>
      </c>
      <c r="B7" s="142" t="s">
        <v>22</v>
      </c>
      <c r="C7" s="143" t="s">
        <v>35</v>
      </c>
      <c r="D7" s="144">
        <v>15</v>
      </c>
      <c r="F7" s="145">
        <v>3</v>
      </c>
      <c r="G7" s="143" t="s">
        <v>36</v>
      </c>
      <c r="H7" s="146">
        <v>10</v>
      </c>
      <c r="I7" s="146">
        <v>0</v>
      </c>
      <c r="J7" s="146">
        <v>0</v>
      </c>
      <c r="K7" s="146">
        <v>8</v>
      </c>
      <c r="L7" s="152">
        <f t="shared" si="0"/>
        <v>18</v>
      </c>
    </row>
    <row r="8" ht="13.8" spans="1:12">
      <c r="A8" s="141">
        <v>4</v>
      </c>
      <c r="B8" s="142" t="s">
        <v>22</v>
      </c>
      <c r="C8" s="143" t="s">
        <v>37</v>
      </c>
      <c r="D8" s="144">
        <v>15</v>
      </c>
      <c r="F8" s="145"/>
      <c r="G8" s="143"/>
      <c r="H8" s="146"/>
      <c r="I8" s="146"/>
      <c r="J8" s="146"/>
      <c r="K8" s="146"/>
      <c r="L8" s="152">
        <f t="shared" ref="L8:L18" si="1">SUM(H8:K8)</f>
        <v>0</v>
      </c>
    </row>
    <row r="9" ht="13.8" spans="1:12">
      <c r="A9" s="141">
        <v>5</v>
      </c>
      <c r="B9" s="142" t="s">
        <v>22</v>
      </c>
      <c r="C9" s="143" t="s">
        <v>38</v>
      </c>
      <c r="D9" s="144">
        <v>10</v>
      </c>
      <c r="F9" s="147"/>
      <c r="G9" s="143"/>
      <c r="H9" s="146"/>
      <c r="I9" s="146"/>
      <c r="J9" s="146"/>
      <c r="K9" s="146"/>
      <c r="L9" s="152">
        <f t="shared" si="1"/>
        <v>0</v>
      </c>
    </row>
    <row r="10" ht="13.8" spans="1:12">
      <c r="A10" s="141">
        <v>6</v>
      </c>
      <c r="B10" s="142" t="s">
        <v>22</v>
      </c>
      <c r="C10" s="143" t="s">
        <v>39</v>
      </c>
      <c r="D10" s="144">
        <v>2</v>
      </c>
      <c r="F10" s="145"/>
      <c r="G10" s="143"/>
      <c r="H10" s="146"/>
      <c r="I10" s="146"/>
      <c r="J10" s="146"/>
      <c r="K10" s="146"/>
      <c r="L10" s="152">
        <f t="shared" si="1"/>
        <v>0</v>
      </c>
    </row>
    <row r="11" ht="15" customHeight="1" spans="1:12">
      <c r="A11" s="138" t="s">
        <v>40</v>
      </c>
      <c r="B11" s="138"/>
      <c r="C11" s="138"/>
      <c r="D11" s="139">
        <f>SUM(D5:D10)</f>
        <v>62</v>
      </c>
      <c r="F11" s="147"/>
      <c r="G11" s="143"/>
      <c r="H11" s="146"/>
      <c r="I11" s="146"/>
      <c r="J11" s="146"/>
      <c r="K11" s="146"/>
      <c r="L11" s="152">
        <f t="shared" si="1"/>
        <v>0</v>
      </c>
    </row>
    <row r="12" ht="13.8" spans="1:12">
      <c r="A12" s="141">
        <v>7</v>
      </c>
      <c r="B12" s="142" t="s">
        <v>40</v>
      </c>
      <c r="C12" s="143" t="s">
        <v>41</v>
      </c>
      <c r="D12" s="144">
        <v>5</v>
      </c>
      <c r="F12" s="147"/>
      <c r="G12" s="143"/>
      <c r="H12" s="146"/>
      <c r="I12" s="146"/>
      <c r="J12" s="146"/>
      <c r="K12" s="146"/>
      <c r="L12" s="152">
        <f t="shared" si="1"/>
        <v>0</v>
      </c>
    </row>
    <row r="13" ht="13.8" spans="1:12">
      <c r="A13" s="141">
        <v>8</v>
      </c>
      <c r="B13" s="142" t="s">
        <v>40</v>
      </c>
      <c r="C13" s="148" t="s">
        <v>42</v>
      </c>
      <c r="D13" s="144">
        <v>15</v>
      </c>
      <c r="F13" s="147"/>
      <c r="G13" s="143"/>
      <c r="H13" s="146"/>
      <c r="I13" s="146"/>
      <c r="J13" s="146"/>
      <c r="K13" s="146"/>
      <c r="L13" s="152">
        <f t="shared" si="1"/>
        <v>0</v>
      </c>
    </row>
    <row r="14" ht="13.8" spans="1:12">
      <c r="A14" s="141">
        <v>9</v>
      </c>
      <c r="B14" s="142" t="s">
        <v>40</v>
      </c>
      <c r="C14" s="148" t="s">
        <v>43</v>
      </c>
      <c r="D14" s="144">
        <v>8</v>
      </c>
      <c r="F14" s="147"/>
      <c r="G14" s="143"/>
      <c r="H14" s="146"/>
      <c r="I14" s="146"/>
      <c r="J14" s="146"/>
      <c r="K14" s="146"/>
      <c r="L14" s="152">
        <f t="shared" si="1"/>
        <v>0</v>
      </c>
    </row>
    <row r="15" ht="13.8" spans="1:12">
      <c r="A15" s="141">
        <v>10</v>
      </c>
      <c r="B15" s="142" t="s">
        <v>40</v>
      </c>
      <c r="C15" s="148" t="s">
        <v>44</v>
      </c>
      <c r="D15" s="144">
        <v>6</v>
      </c>
      <c r="F15" s="147"/>
      <c r="G15" s="143"/>
      <c r="H15" s="146"/>
      <c r="I15" s="146"/>
      <c r="J15" s="146"/>
      <c r="K15" s="146"/>
      <c r="L15" s="152">
        <f t="shared" si="1"/>
        <v>0</v>
      </c>
    </row>
    <row r="16" ht="13.8" spans="1:12">
      <c r="A16" s="141">
        <v>11</v>
      </c>
      <c r="B16" s="142" t="s">
        <v>40</v>
      </c>
      <c r="C16" s="148" t="s">
        <v>45</v>
      </c>
      <c r="D16" s="144">
        <v>6</v>
      </c>
      <c r="F16" s="147"/>
      <c r="G16" s="143"/>
      <c r="H16" s="146"/>
      <c r="I16" s="146"/>
      <c r="J16" s="146"/>
      <c r="K16" s="146"/>
      <c r="L16" s="152">
        <f t="shared" si="1"/>
        <v>0</v>
      </c>
    </row>
    <row r="17" ht="13.8" spans="1:12">
      <c r="A17" s="141">
        <v>12</v>
      </c>
      <c r="B17" s="142" t="s">
        <v>40</v>
      </c>
      <c r="C17" s="148"/>
      <c r="D17" s="144"/>
      <c r="F17" s="147"/>
      <c r="G17" s="143"/>
      <c r="H17" s="146"/>
      <c r="I17" s="146"/>
      <c r="J17" s="146"/>
      <c r="K17" s="146"/>
      <c r="L17" s="152">
        <f t="shared" si="1"/>
        <v>0</v>
      </c>
    </row>
    <row r="18" spans="1:12">
      <c r="A18" s="141">
        <v>13</v>
      </c>
      <c r="B18" s="142" t="s">
        <v>40</v>
      </c>
      <c r="C18" s="148"/>
      <c r="D18" s="144"/>
      <c r="F18" s="147"/>
      <c r="G18" s="143"/>
      <c r="H18" s="146"/>
      <c r="I18" s="146"/>
      <c r="J18" s="146"/>
      <c r="K18" s="146"/>
      <c r="L18" s="152">
        <f t="shared" si="1"/>
        <v>0</v>
      </c>
    </row>
    <row r="19" spans="1:12">
      <c r="A19" s="141">
        <v>14</v>
      </c>
      <c r="B19" s="142" t="s">
        <v>40</v>
      </c>
      <c r="C19" s="148" t="s">
        <v>46</v>
      </c>
      <c r="D19" s="144">
        <v>3</v>
      </c>
      <c r="H19" s="131"/>
      <c r="I19" s="131"/>
      <c r="J19" s="131"/>
      <c r="K19" s="131"/>
      <c r="L19" s="131"/>
    </row>
    <row r="20" spans="1:12">
      <c r="A20" s="141">
        <v>15</v>
      </c>
      <c r="B20" s="142" t="s">
        <v>40</v>
      </c>
      <c r="C20" s="148" t="s">
        <v>47</v>
      </c>
      <c r="D20" s="144">
        <v>5</v>
      </c>
      <c r="H20" s="131"/>
      <c r="I20" s="131"/>
      <c r="J20" s="131"/>
      <c r="K20" s="131"/>
      <c r="L20" s="131"/>
    </row>
    <row r="21" ht="15" customHeight="1" spans="1:12">
      <c r="A21" s="138" t="s">
        <v>48</v>
      </c>
      <c r="B21" s="138"/>
      <c r="C21" s="138"/>
      <c r="D21" s="139">
        <f>SUM(D12:D20)</f>
        <v>48</v>
      </c>
      <c r="H21" s="131"/>
      <c r="I21" s="131"/>
      <c r="J21" s="131"/>
      <c r="K21" s="131"/>
      <c r="L21" s="131"/>
    </row>
    <row r="22" spans="1:12">
      <c r="A22" s="141">
        <v>16</v>
      </c>
      <c r="B22" s="142" t="s">
        <v>48</v>
      </c>
      <c r="C22" s="143" t="s">
        <v>41</v>
      </c>
      <c r="D22" s="144">
        <v>5</v>
      </c>
      <c r="H22" s="131"/>
      <c r="I22" s="131"/>
      <c r="J22" s="131"/>
      <c r="K22" s="131"/>
      <c r="L22" s="131"/>
    </row>
    <row r="23" ht="13.8" spans="1:4">
      <c r="A23" s="141">
        <v>17</v>
      </c>
      <c r="B23" s="142" t="s">
        <v>48</v>
      </c>
      <c r="C23" s="148" t="s">
        <v>49</v>
      </c>
      <c r="D23" s="144">
        <v>20</v>
      </c>
    </row>
    <row r="24" ht="13.8" spans="1:4">
      <c r="A24" s="141">
        <v>18</v>
      </c>
      <c r="B24" s="142" t="s">
        <v>48</v>
      </c>
      <c r="C24" s="148" t="s">
        <v>50</v>
      </c>
      <c r="D24" s="144">
        <v>20</v>
      </c>
    </row>
    <row r="25" ht="13.8" spans="1:4">
      <c r="A25" s="141">
        <v>19</v>
      </c>
      <c r="B25" s="142" t="s">
        <v>48</v>
      </c>
      <c r="C25" s="148"/>
      <c r="D25" s="144"/>
    </row>
    <row r="26" ht="13.8" spans="1:4">
      <c r="A26" s="141">
        <v>20</v>
      </c>
      <c r="B26" s="142" t="s">
        <v>48</v>
      </c>
      <c r="C26" s="148"/>
      <c r="D26" s="144"/>
    </row>
    <row r="27" ht="13.8" spans="1:4">
      <c r="A27" s="141"/>
      <c r="B27" s="142"/>
      <c r="C27" s="148"/>
      <c r="D27" s="144"/>
    </row>
    <row r="28" ht="13.8" spans="1:4">
      <c r="A28" s="141"/>
      <c r="B28" s="142"/>
      <c r="C28" s="148"/>
      <c r="D28" s="144"/>
    </row>
    <row r="29" ht="13.8" spans="1:4">
      <c r="A29" s="141">
        <v>21</v>
      </c>
      <c r="B29" s="142" t="s">
        <v>48</v>
      </c>
      <c r="C29" s="148" t="s">
        <v>46</v>
      </c>
      <c r="D29" s="144">
        <v>3</v>
      </c>
    </row>
    <row r="30" spans="1:4">
      <c r="A30" s="141">
        <v>22</v>
      </c>
      <c r="B30" s="142" t="s">
        <v>48</v>
      </c>
      <c r="C30" s="148" t="s">
        <v>47</v>
      </c>
      <c r="D30" s="144">
        <v>5</v>
      </c>
    </row>
    <row r="31" ht="15" customHeight="1" spans="1:4">
      <c r="A31" s="138" t="s">
        <v>51</v>
      </c>
      <c r="B31" s="138"/>
      <c r="C31" s="138"/>
      <c r="D31" s="139">
        <f>SUM(D22:D30)</f>
        <v>53</v>
      </c>
    </row>
    <row r="32" spans="1:4">
      <c r="A32" s="141">
        <v>23</v>
      </c>
      <c r="B32" s="142" t="s">
        <v>51</v>
      </c>
      <c r="C32" s="143" t="s">
        <v>41</v>
      </c>
      <c r="D32" s="144">
        <v>5</v>
      </c>
    </row>
    <row r="33" spans="1:4">
      <c r="A33" s="141">
        <v>24</v>
      </c>
      <c r="B33" s="142" t="s">
        <v>51</v>
      </c>
      <c r="C33" s="148" t="s">
        <v>52</v>
      </c>
      <c r="D33" s="144">
        <v>10</v>
      </c>
    </row>
    <row r="34" spans="1:4">
      <c r="A34" s="141">
        <v>25</v>
      </c>
      <c r="B34" s="142" t="s">
        <v>51</v>
      </c>
      <c r="C34" s="148" t="s">
        <v>53</v>
      </c>
      <c r="D34" s="144">
        <v>10</v>
      </c>
    </row>
    <row r="35" spans="1:4">
      <c r="A35" s="141">
        <v>26</v>
      </c>
      <c r="B35" s="142" t="s">
        <v>51</v>
      </c>
      <c r="C35" s="148" t="s">
        <v>54</v>
      </c>
      <c r="D35" s="144">
        <v>10</v>
      </c>
    </row>
    <row r="36" spans="1:4">
      <c r="A36" s="141">
        <v>27</v>
      </c>
      <c r="B36" s="142" t="s">
        <v>51</v>
      </c>
      <c r="C36" s="143" t="s">
        <v>55</v>
      </c>
      <c r="D36" s="144">
        <v>5</v>
      </c>
    </row>
    <row r="37" spans="1:4">
      <c r="A37" s="141">
        <v>28</v>
      </c>
      <c r="B37" s="142" t="s">
        <v>51</v>
      </c>
      <c r="C37" s="143"/>
      <c r="D37" s="144"/>
    </row>
    <row r="38" spans="1:4">
      <c r="A38" s="141">
        <v>29</v>
      </c>
      <c r="B38" s="142" t="s">
        <v>51</v>
      </c>
      <c r="C38" s="143" t="s">
        <v>56</v>
      </c>
      <c r="D38" s="144">
        <v>5</v>
      </c>
    </row>
    <row r="39" spans="1:4">
      <c r="A39" s="141">
        <v>30</v>
      </c>
      <c r="B39" s="142" t="s">
        <v>51</v>
      </c>
      <c r="C39" s="143" t="s">
        <v>57</v>
      </c>
      <c r="D39" s="144">
        <v>5</v>
      </c>
    </row>
    <row r="40" spans="1:4">
      <c r="A40" s="141">
        <v>31</v>
      </c>
      <c r="B40" s="149" t="s">
        <v>51</v>
      </c>
      <c r="C40" s="148" t="s">
        <v>46</v>
      </c>
      <c r="D40" s="144">
        <v>5</v>
      </c>
    </row>
    <row r="41" ht="12" customHeight="1" spans="1:4">
      <c r="A41" s="150"/>
      <c r="B41" s="150"/>
      <c r="C41" s="150"/>
      <c r="D41" s="139">
        <f>SUM(D32:D40)</f>
        <v>55</v>
      </c>
    </row>
    <row r="42" ht="15.6" spans="4:4">
      <c r="D42" s="151">
        <f>SUM(D11,D21,D31,D41)</f>
        <v>218</v>
      </c>
    </row>
  </sheetData>
  <mergeCells count="10">
    <mergeCell ref="A1:D1"/>
    <mergeCell ref="F1:L1"/>
    <mergeCell ref="A2:D2"/>
    <mergeCell ref="F2:L2"/>
    <mergeCell ref="H3:L3"/>
    <mergeCell ref="A4:C4"/>
    <mergeCell ref="A11:C11"/>
    <mergeCell ref="A21:C21"/>
    <mergeCell ref="A31:C31"/>
    <mergeCell ref="A41:C41"/>
  </mergeCells>
  <pageMargins left="0.7" right="0.7" top="1.14370078740158" bottom="1.14370078740158" header="0.75" footer="0.75"/>
  <pageSetup paperSize="9" fitToWidth="0" fitToHeight="0" orientation="portrait"/>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22"/>
  <sheetViews>
    <sheetView workbookViewId="0">
      <selection activeCell="B7" sqref="B7"/>
    </sheetView>
  </sheetViews>
  <sheetFormatPr defaultColWidth="9" defaultRowHeight="14.4" outlineLevelCol="4"/>
  <cols>
    <col min="1" max="1" width="48.25" style="1" customWidth="1"/>
    <col min="2" max="2" width="15.5" style="2" customWidth="1"/>
    <col min="3" max="3" width="20.75" style="1" customWidth="1"/>
    <col min="4" max="1024" width="8.125" style="1" customWidth="1"/>
    <col min="1025" max="1025" width="9" customWidth="1"/>
  </cols>
  <sheetData>
    <row r="1" ht="15.6" spans="1:3">
      <c r="A1" s="121" t="s">
        <v>58</v>
      </c>
      <c r="B1" s="121"/>
      <c r="C1" s="121"/>
    </row>
    <row r="2" ht="7.5" customHeight="1"/>
    <row r="3" ht="15.6" spans="1:3">
      <c r="A3" s="122" t="s">
        <v>59</v>
      </c>
      <c r="B3" s="122"/>
      <c r="C3" s="122"/>
    </row>
    <row r="4" ht="15.6" spans="1:3">
      <c r="A4" s="32" t="s">
        <v>60</v>
      </c>
      <c r="B4" s="123">
        <f>Backlog_Produto!$D$42</f>
        <v>218</v>
      </c>
      <c r="C4" s="32" t="s">
        <v>61</v>
      </c>
    </row>
    <row r="5" spans="1:5">
      <c r="A5" s="10" t="s">
        <v>62</v>
      </c>
      <c r="B5" s="11">
        <v>0.4</v>
      </c>
      <c r="C5" s="10" t="s">
        <v>63</v>
      </c>
      <c r="E5" s="1" t="s">
        <v>64</v>
      </c>
    </row>
    <row r="6" spans="1:3">
      <c r="A6" s="7" t="s">
        <v>65</v>
      </c>
      <c r="B6" s="17">
        <v>5</v>
      </c>
      <c r="C6" s="7"/>
    </row>
    <row r="7" spans="1:3">
      <c r="A7" s="7" t="s">
        <v>66</v>
      </c>
      <c r="B7" s="17">
        <v>6</v>
      </c>
      <c r="C7" s="7" t="s">
        <v>61</v>
      </c>
    </row>
    <row r="8" spans="1:3">
      <c r="A8" s="7" t="s">
        <v>67</v>
      </c>
      <c r="B8" s="124">
        <f>B6*B7*2</f>
        <v>60</v>
      </c>
      <c r="C8" s="7" t="s">
        <v>61</v>
      </c>
    </row>
    <row r="9" ht="19.8" spans="1:3">
      <c r="A9" s="125" t="s">
        <v>68</v>
      </c>
      <c r="B9" s="126">
        <f>B11/2</f>
        <v>5.08666666666667</v>
      </c>
      <c r="C9" s="125" t="s">
        <v>69</v>
      </c>
    </row>
    <row r="10" ht="19.8" spans="1:3">
      <c r="A10" s="127" t="s">
        <v>70</v>
      </c>
      <c r="B10" s="126">
        <f>B4+(B4*B5)</f>
        <v>305.2</v>
      </c>
      <c r="C10" s="127" t="s">
        <v>61</v>
      </c>
    </row>
    <row r="11" spans="1:3">
      <c r="A11" s="7" t="s">
        <v>71</v>
      </c>
      <c r="B11" s="124">
        <f>B10/B8*2</f>
        <v>10.1733333333333</v>
      </c>
      <c r="C11" s="7" t="s">
        <v>72</v>
      </c>
    </row>
    <row r="12" ht="15.6" spans="1:3">
      <c r="A12" s="32" t="s">
        <v>73</v>
      </c>
      <c r="B12" s="128">
        <f>B11/4</f>
        <v>2.54333333333333</v>
      </c>
      <c r="C12" s="32" t="s">
        <v>74</v>
      </c>
    </row>
    <row r="14" ht="15.6" spans="1:3">
      <c r="A14" s="122" t="s">
        <v>75</v>
      </c>
      <c r="B14" s="122"/>
      <c r="C14" s="122"/>
    </row>
    <row r="15" spans="1:3">
      <c r="A15" s="7" t="s">
        <v>76</v>
      </c>
      <c r="B15" s="129">
        <v>20</v>
      </c>
      <c r="C15" s="12"/>
    </row>
    <row r="16" spans="1:3">
      <c r="A16" s="7" t="s">
        <v>77</v>
      </c>
      <c r="B16" s="30">
        <f>B10*B15</f>
        <v>6104</v>
      </c>
      <c r="C16" s="12"/>
    </row>
    <row r="17" spans="1:3">
      <c r="A17" s="7" t="s">
        <v>78</v>
      </c>
      <c r="B17" s="11">
        <v>0.2</v>
      </c>
      <c r="C17" s="12"/>
    </row>
    <row r="18" spans="1:3">
      <c r="A18" s="7" t="s">
        <v>79</v>
      </c>
      <c r="B18" s="31">
        <f>B16*B17</f>
        <v>1220.8</v>
      </c>
      <c r="C18" s="12"/>
    </row>
    <row r="19" ht="18" spans="1:3">
      <c r="A19" s="26" t="s">
        <v>80</v>
      </c>
      <c r="B19" s="130">
        <f>B16+B18</f>
        <v>7324.8</v>
      </c>
      <c r="C19" s="12"/>
    </row>
    <row r="20" spans="1:3">
      <c r="A20" s="7" t="s">
        <v>81</v>
      </c>
      <c r="B20" s="11">
        <v>0.2</v>
      </c>
      <c r="C20" s="12"/>
    </row>
    <row r="21" spans="1:3">
      <c r="A21" s="7" t="s">
        <v>82</v>
      </c>
      <c r="B21" s="34">
        <f>B19*B20</f>
        <v>1464.96</v>
      </c>
      <c r="C21" s="12"/>
    </row>
    <row r="22" ht="18" spans="1:3">
      <c r="A22" s="26" t="s">
        <v>83</v>
      </c>
      <c r="B22" s="130">
        <f>B19+B21</f>
        <v>8789.76</v>
      </c>
      <c r="C22" s="12"/>
    </row>
  </sheetData>
  <mergeCells count="3">
    <mergeCell ref="A1:C1"/>
    <mergeCell ref="A3:C3"/>
    <mergeCell ref="A14:C14"/>
  </mergeCells>
  <pageMargins left="0.511811023622047" right="0.511811023622047" top="1.18110236220472" bottom="1.18110236220472" header="0.78740157480315" footer="0.78740157480315"/>
  <pageSetup paperSize="9" fitToWidth="0" fitToHeight="0" orientation="portrait"/>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6"/>
  <sheetViews>
    <sheetView workbookViewId="0">
      <selection activeCell="A1" sqref="A1:K1"/>
    </sheetView>
  </sheetViews>
  <sheetFormatPr defaultColWidth="9" defaultRowHeight="13.8"/>
  <cols>
    <col min="1" max="1" width="6.125" style="89" customWidth="1"/>
    <col min="2" max="2" width="45.25" style="41" customWidth="1"/>
    <col min="3" max="3" width="13.875" style="89" customWidth="1"/>
    <col min="4" max="6" width="13.125" style="41" customWidth="1"/>
    <col min="7" max="9" width="13" style="41" customWidth="1"/>
    <col min="10" max="10" width="13" style="90" customWidth="1"/>
    <col min="11" max="11" width="14.75" style="41" customWidth="1"/>
    <col min="12" max="1024" width="8.5" style="41" customWidth="1"/>
    <col min="1025" max="1025" width="9" customWidth="1"/>
  </cols>
  <sheetData>
    <row r="1" ht="23.4" spans="1:11">
      <c r="A1" s="63" t="s">
        <v>84</v>
      </c>
      <c r="B1" s="63"/>
      <c r="C1" s="63"/>
      <c r="D1" s="63"/>
      <c r="E1" s="63"/>
      <c r="F1" s="63"/>
      <c r="G1" s="63"/>
      <c r="H1" s="63"/>
      <c r="I1" s="63"/>
      <c r="J1" s="63"/>
      <c r="K1" s="63"/>
    </row>
    <row r="2" ht="15.6" spans="1:11">
      <c r="A2" s="91" t="s">
        <v>85</v>
      </c>
      <c r="B2" s="91"/>
      <c r="C2" s="91"/>
      <c r="D2" s="91"/>
      <c r="E2" s="91">
        <f>Planejamento!$B$10</f>
        <v>305.2</v>
      </c>
      <c r="F2" s="92"/>
      <c r="G2" s="91" t="s">
        <v>85</v>
      </c>
      <c r="H2" s="91"/>
      <c r="I2" s="91"/>
      <c r="J2" s="91"/>
      <c r="K2" s="91"/>
    </row>
    <row r="3" spans="1:11">
      <c r="A3" s="93"/>
      <c r="B3" s="94"/>
      <c r="C3" s="95" t="s">
        <v>86</v>
      </c>
      <c r="D3" s="95"/>
      <c r="E3" s="95"/>
      <c r="F3" s="96"/>
      <c r="G3" s="97" t="s">
        <v>87</v>
      </c>
      <c r="H3" s="97"/>
      <c r="I3" s="97"/>
      <c r="J3" s="112"/>
      <c r="K3" s="113"/>
    </row>
    <row r="4" spans="1:11">
      <c r="A4" s="97" t="s">
        <v>88</v>
      </c>
      <c r="B4" s="97" t="s">
        <v>89</v>
      </c>
      <c r="C4" s="97" t="s">
        <v>90</v>
      </c>
      <c r="D4" s="97" t="s">
        <v>91</v>
      </c>
      <c r="E4" s="97" t="s">
        <v>23</v>
      </c>
      <c r="F4" s="97" t="s">
        <v>92</v>
      </c>
      <c r="G4" s="97" t="s">
        <v>90</v>
      </c>
      <c r="H4" s="97" t="s">
        <v>93</v>
      </c>
      <c r="I4" s="97" t="s">
        <v>23</v>
      </c>
      <c r="J4" s="114" t="s">
        <v>94</v>
      </c>
      <c r="K4" s="97" t="s">
        <v>95</v>
      </c>
    </row>
    <row r="5" spans="1:11">
      <c r="A5" s="98">
        <v>1</v>
      </c>
      <c r="B5" s="99" t="s">
        <v>96</v>
      </c>
      <c r="C5" s="100">
        <v>43132</v>
      </c>
      <c r="D5" s="100">
        <v>43159</v>
      </c>
      <c r="E5" s="101">
        <v>24</v>
      </c>
      <c r="F5" s="102" t="s">
        <v>97</v>
      </c>
      <c r="G5" s="100">
        <v>43132</v>
      </c>
      <c r="H5" s="100">
        <v>43160</v>
      </c>
      <c r="I5" s="101">
        <v>28</v>
      </c>
      <c r="J5" s="115">
        <f>E5-I5</f>
        <v>-4</v>
      </c>
      <c r="K5" s="116" t="s">
        <v>98</v>
      </c>
    </row>
    <row r="6" spans="1:11">
      <c r="A6" s="98">
        <v>2</v>
      </c>
      <c r="B6" s="99" t="s">
        <v>99</v>
      </c>
      <c r="C6" s="100">
        <v>43160</v>
      </c>
      <c r="D6" s="100">
        <v>43189</v>
      </c>
      <c r="E6" s="103"/>
      <c r="F6" s="102" t="s">
        <v>100</v>
      </c>
      <c r="G6" s="100"/>
      <c r="H6" s="100"/>
      <c r="I6" s="103"/>
      <c r="J6" s="117"/>
      <c r="K6" s="116"/>
    </row>
    <row r="7" spans="1:11">
      <c r="A7" s="98">
        <v>3</v>
      </c>
      <c r="B7" s="99" t="s">
        <v>101</v>
      </c>
      <c r="C7" s="100">
        <v>43191</v>
      </c>
      <c r="D7" s="100">
        <v>43220</v>
      </c>
      <c r="E7" s="103"/>
      <c r="F7" s="102" t="s">
        <v>100</v>
      </c>
      <c r="G7" s="100"/>
      <c r="H7" s="100"/>
      <c r="I7" s="103"/>
      <c r="J7" s="117"/>
      <c r="K7" s="116"/>
    </row>
    <row r="8" spans="1:11">
      <c r="A8" s="98">
        <v>4</v>
      </c>
      <c r="B8" s="104"/>
      <c r="C8" s="105"/>
      <c r="D8" s="105"/>
      <c r="E8" s="106"/>
      <c r="F8" s="107"/>
      <c r="G8" s="105"/>
      <c r="H8" s="105"/>
      <c r="I8" s="106"/>
      <c r="J8" s="118"/>
      <c r="K8" s="119"/>
    </row>
    <row r="9" spans="1:11">
      <c r="A9" s="98">
        <v>5</v>
      </c>
      <c r="B9" s="104"/>
      <c r="C9" s="105"/>
      <c r="D9" s="105"/>
      <c r="E9" s="106"/>
      <c r="F9" s="107"/>
      <c r="G9" s="105"/>
      <c r="H9" s="105"/>
      <c r="I9" s="106"/>
      <c r="J9" s="118"/>
      <c r="K9" s="119"/>
    </row>
    <row r="10" spans="1:11">
      <c r="A10" s="98">
        <v>6</v>
      </c>
      <c r="B10" s="104"/>
      <c r="C10" s="105"/>
      <c r="D10" s="105"/>
      <c r="E10" s="106"/>
      <c r="F10" s="107"/>
      <c r="G10" s="105"/>
      <c r="H10" s="105"/>
      <c r="I10" s="106"/>
      <c r="J10" s="118"/>
      <c r="K10" s="119"/>
    </row>
    <row r="11" spans="1:11">
      <c r="A11" s="98">
        <v>7</v>
      </c>
      <c r="B11" s="104"/>
      <c r="C11" s="105"/>
      <c r="D11" s="105"/>
      <c r="E11" s="106"/>
      <c r="F11" s="107"/>
      <c r="G11" s="105"/>
      <c r="H11" s="105"/>
      <c r="I11" s="106"/>
      <c r="J11" s="118"/>
      <c r="K11" s="119"/>
    </row>
    <row r="12" spans="1:11">
      <c r="A12" s="98">
        <v>8</v>
      </c>
      <c r="B12" s="104"/>
      <c r="C12" s="105"/>
      <c r="D12" s="105"/>
      <c r="E12" s="106"/>
      <c r="F12" s="107"/>
      <c r="G12" s="105"/>
      <c r="H12" s="105"/>
      <c r="I12" s="106"/>
      <c r="J12" s="118"/>
      <c r="K12" s="119"/>
    </row>
    <row r="13" spans="1:11">
      <c r="A13" s="98">
        <v>9</v>
      </c>
      <c r="B13" s="104"/>
      <c r="C13" s="105"/>
      <c r="D13" s="105"/>
      <c r="E13" s="106"/>
      <c r="F13" s="107"/>
      <c r="G13" s="105"/>
      <c r="H13" s="105"/>
      <c r="I13" s="106"/>
      <c r="J13" s="118"/>
      <c r="K13" s="119"/>
    </row>
    <row r="14" spans="1:11">
      <c r="A14" s="98">
        <v>10</v>
      </c>
      <c r="B14" s="104"/>
      <c r="C14" s="105"/>
      <c r="D14" s="105"/>
      <c r="E14" s="106"/>
      <c r="F14" s="107"/>
      <c r="G14" s="105"/>
      <c r="H14" s="105"/>
      <c r="I14" s="106"/>
      <c r="J14" s="118"/>
      <c r="K14" s="119"/>
    </row>
    <row r="15" spans="1:11">
      <c r="A15" s="108"/>
      <c r="B15" s="109"/>
      <c r="C15" s="110"/>
      <c r="D15" s="109"/>
      <c r="E15" s="111">
        <f>SUM(E5:E14)</f>
        <v>24</v>
      </c>
      <c r="F15" s="109"/>
      <c r="G15" s="38"/>
      <c r="H15" s="38"/>
      <c r="I15" s="111">
        <f>SUM(I5:I14)</f>
        <v>28</v>
      </c>
      <c r="J15" s="120">
        <f>SUM(J5:J14)</f>
        <v>-4</v>
      </c>
      <c r="K15" s="38"/>
    </row>
    <row r="16" s="41" customFormat="1" ht="12" spans="10:10">
      <c r="J16" s="90"/>
    </row>
  </sheetData>
  <mergeCells count="5">
    <mergeCell ref="A1:K1"/>
    <mergeCell ref="A2:D2"/>
    <mergeCell ref="G2:J2"/>
    <mergeCell ref="C3:E3"/>
    <mergeCell ref="G3:I3"/>
  </mergeCells>
  <conditionalFormatting sqref="F5:F14">
    <cfRule type="cellIs" dxfId="0" priority="3" stopIfTrue="1" operator="equal">
      <formula>"Unplanned"</formula>
    </cfRule>
    <cfRule type="expression" dxfId="1" priority="2" stopIfTrue="1">
      <formula>$F5="Ongoing"</formula>
    </cfRule>
    <cfRule type="expression" dxfId="2" priority="1" stopIfTrue="1">
      <formula>$F5="Planned"</formula>
    </cfRule>
  </conditionalFormatting>
  <conditionalFormatting sqref="A5:D14">
    <cfRule type="expression" dxfId="1" priority="7" stopIfTrue="1">
      <formula>$F5="Ongoing"</formula>
    </cfRule>
    <cfRule type="expression" dxfId="2" priority="6" stopIfTrue="1">
      <formula>OR($F5="Planned",$F5="Unplanned")</formula>
    </cfRule>
  </conditionalFormatting>
  <conditionalFormatting sqref="G5:H14">
    <cfRule type="expression" dxfId="1" priority="5" stopIfTrue="1">
      <formula>$F5="Ongoing"</formula>
    </cfRule>
    <cfRule type="expression" dxfId="2" priority="4" stopIfTrue="1">
      <formula>OR($F5="Planned",$F5="Unplanned")</formula>
    </cfRule>
  </conditionalFormatting>
  <dataValidations count="1">
    <dataValidation type="list" allowBlank="1" showInputMessage="1" showErrorMessage="1" sqref="F5:F14">
      <formula1>"Planejado,Em execução,Entregue,Não planejado"</formula1>
    </dataValidation>
  </dataValidations>
  <pageMargins left="0.511811023622047" right="0.511811023622047" top="1.18110236220472" bottom="1.18110236220472" header="0.78740157480315" footer="0.78740157480315"/>
  <pageSetup paperSize="9" fitToWidth="0" fitToHeight="0"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60"/>
  <sheetViews>
    <sheetView workbookViewId="0">
      <selection activeCell="A1" sqref="A1:K1"/>
    </sheetView>
  </sheetViews>
  <sheetFormatPr defaultColWidth="9" defaultRowHeight="13.8"/>
  <cols>
    <col min="1" max="1" width="5.625" style="62" customWidth="1"/>
    <col min="2" max="2" width="35.625" style="62" customWidth="1"/>
    <col min="3" max="3" width="6.5" style="62" customWidth="1"/>
    <col min="4" max="4" width="13.25" style="62" customWidth="1"/>
    <col min="5" max="5" width="8.875" style="62" customWidth="1"/>
    <col min="6" max="6" width="12.5" style="62" customWidth="1"/>
    <col min="7" max="7" width="9.125" style="62" customWidth="1"/>
    <col min="8" max="9" width="12.25" style="62" customWidth="1"/>
    <col min="10" max="10" width="24.25" style="62" customWidth="1"/>
    <col min="11" max="11" width="27.875" style="62" customWidth="1"/>
    <col min="12" max="12" width="8.5" style="62" customWidth="1"/>
    <col min="13" max="14" width="20.5" style="62" customWidth="1"/>
    <col min="15" max="256" width="8.5" style="62" customWidth="1"/>
    <col min="257" max="258" width="6.5" style="62" customWidth="1"/>
    <col min="259" max="259" width="13.875" style="62" customWidth="1"/>
    <col min="260" max="260" width="9" style="62" customWidth="1"/>
    <col min="261" max="261" width="13.5" style="62" customWidth="1"/>
    <col min="262" max="262" width="10" style="62" customWidth="1"/>
    <col min="263" max="263" width="12.25" style="62" customWidth="1"/>
    <col min="264" max="264" width="5.875" style="62" customWidth="1"/>
    <col min="265" max="265" width="24.25" style="62" customWidth="1"/>
    <col min="266" max="266" width="32.5" style="62" customWidth="1"/>
    <col min="267" max="267" width="17.625" style="62" customWidth="1"/>
    <col min="268" max="268" width="8.5" style="62" customWidth="1"/>
    <col min="269" max="270" width="20.5" style="62" customWidth="1"/>
    <col min="271" max="512" width="8.5" style="62" customWidth="1"/>
    <col min="513" max="514" width="6.5" style="62" customWidth="1"/>
    <col min="515" max="515" width="13.875" style="62" customWidth="1"/>
    <col min="516" max="516" width="9" style="62" customWidth="1"/>
    <col min="517" max="517" width="13.5" style="62" customWidth="1"/>
    <col min="518" max="518" width="10" style="62" customWidth="1"/>
    <col min="519" max="519" width="12.25" style="62" customWidth="1"/>
    <col min="520" max="520" width="5.875" style="62" customWidth="1"/>
    <col min="521" max="521" width="24.25" style="62" customWidth="1"/>
    <col min="522" max="522" width="32.5" style="62" customWidth="1"/>
    <col min="523" max="523" width="17.625" style="62" customWidth="1"/>
    <col min="524" max="524" width="8.5" style="62" customWidth="1"/>
    <col min="525" max="526" width="20.5" style="62" customWidth="1"/>
    <col min="527" max="768" width="8.5" style="62" customWidth="1"/>
    <col min="769" max="770" width="6.5" style="62" customWidth="1"/>
    <col min="771" max="771" width="13.875" style="62" customWidth="1"/>
    <col min="772" max="772" width="9" style="62" customWidth="1"/>
    <col min="773" max="773" width="13.5" style="62" customWidth="1"/>
    <col min="774" max="774" width="10" style="62" customWidth="1"/>
    <col min="775" max="775" width="12.25" style="62" customWidth="1"/>
    <col min="776" max="776" width="5.875" style="62" customWidth="1"/>
    <col min="777" max="777" width="24.25" style="62" customWidth="1"/>
    <col min="778" max="778" width="32.5" style="62" customWidth="1"/>
    <col min="779" max="779" width="17.625" style="62" customWidth="1"/>
    <col min="780" max="780" width="8.5" style="62" customWidth="1"/>
    <col min="781" max="782" width="20.5" style="62" customWidth="1"/>
    <col min="783" max="1024" width="8.5" style="62" customWidth="1"/>
    <col min="1025" max="1025" width="9" customWidth="1"/>
  </cols>
  <sheetData>
    <row r="1" s="39" customFormat="1" ht="21" customHeight="1" spans="1:11">
      <c r="A1" s="63" t="s">
        <v>102</v>
      </c>
      <c r="B1" s="63"/>
      <c r="C1" s="63"/>
      <c r="D1" s="63"/>
      <c r="E1" s="63"/>
      <c r="F1" s="63"/>
      <c r="G1" s="63"/>
      <c r="H1" s="63"/>
      <c r="I1" s="63"/>
      <c r="J1" s="63"/>
      <c r="K1" s="63"/>
    </row>
    <row r="2" hidden="1"/>
    <row r="3" hidden="1" spans="4:4">
      <c r="D3" s="64" t="s">
        <v>103</v>
      </c>
    </row>
    <row r="4" hidden="1" spans="4:4">
      <c r="D4" s="65" t="s">
        <v>104</v>
      </c>
    </row>
    <row r="5" hidden="1" spans="4:4">
      <c r="D5" s="65" t="s">
        <v>105</v>
      </c>
    </row>
    <row r="6" hidden="1" spans="4:4">
      <c r="D6" s="65" t="s">
        <v>106</v>
      </c>
    </row>
    <row r="7" ht="20.4" hidden="1" spans="4:4">
      <c r="D7" s="65" t="s">
        <v>107</v>
      </c>
    </row>
    <row r="8" hidden="1" spans="4:4">
      <c r="D8" s="65" t="s">
        <v>108</v>
      </c>
    </row>
    <row r="9" hidden="1" spans="4:4">
      <c r="D9" s="65" t="s">
        <v>109</v>
      </c>
    </row>
    <row r="10" hidden="1" spans="4:4">
      <c r="D10" s="65" t="s">
        <v>110</v>
      </c>
    </row>
    <row r="11" hidden="1" spans="4:4">
      <c r="D11" s="65" t="s">
        <v>111</v>
      </c>
    </row>
    <row r="12" hidden="1" spans="4:4">
      <c r="D12" s="65" t="s">
        <v>112</v>
      </c>
    </row>
    <row r="13" ht="20.4" hidden="1" spans="4:4">
      <c r="D13" s="65" t="s">
        <v>113</v>
      </c>
    </row>
    <row r="14" ht="20.4" hidden="1" spans="4:4">
      <c r="D14" s="64" t="s">
        <v>114</v>
      </c>
    </row>
    <row r="15" hidden="1" spans="4:4">
      <c r="D15" s="65" t="s">
        <v>115</v>
      </c>
    </row>
    <row r="16" hidden="1" spans="4:4">
      <c r="D16" s="65" t="s">
        <v>116</v>
      </c>
    </row>
    <row r="17" hidden="1" spans="4:4">
      <c r="D17" s="65" t="s">
        <v>117</v>
      </c>
    </row>
    <row r="18" hidden="1" spans="4:4">
      <c r="D18" s="64" t="s">
        <v>118</v>
      </c>
    </row>
    <row r="19" hidden="1" spans="4:4">
      <c r="D19" s="65" t="s">
        <v>119</v>
      </c>
    </row>
    <row r="20" hidden="1" spans="4:4">
      <c r="D20" s="65" t="s">
        <v>120</v>
      </c>
    </row>
    <row r="21" hidden="1" spans="4:4">
      <c r="D21" s="65" t="s">
        <v>121</v>
      </c>
    </row>
    <row r="22" hidden="1" spans="4:4">
      <c r="D22" s="64" t="s">
        <v>122</v>
      </c>
    </row>
    <row r="23" hidden="1" spans="4:4">
      <c r="D23" s="65" t="s">
        <v>123</v>
      </c>
    </row>
    <row r="24" hidden="1" spans="4:4">
      <c r="D24" s="65" t="s">
        <v>124</v>
      </c>
    </row>
    <row r="25" hidden="1" spans="4:4">
      <c r="D25" s="65" t="s">
        <v>125</v>
      </c>
    </row>
    <row r="26" hidden="1" spans="4:4">
      <c r="D26" s="65" t="s">
        <v>126</v>
      </c>
    </row>
    <row r="27" hidden="1" spans="4:4">
      <c r="D27" s="64" t="s">
        <v>127</v>
      </c>
    </row>
    <row r="28" hidden="1" spans="4:4">
      <c r="D28" s="65" t="s">
        <v>128</v>
      </c>
    </row>
    <row r="29" hidden="1" spans="4:4">
      <c r="D29" s="65" t="s">
        <v>129</v>
      </c>
    </row>
    <row r="30" hidden="1" spans="4:4">
      <c r="D30" s="65" t="s">
        <v>130</v>
      </c>
    </row>
    <row r="31" s="59" customFormat="1" ht="10.2" hidden="1" spans="4:4">
      <c r="D31" s="66" t="s">
        <v>131</v>
      </c>
    </row>
    <row r="32" hidden="1" spans="4:4">
      <c r="D32" s="67" t="s">
        <v>132</v>
      </c>
    </row>
    <row r="33" ht="22.5" hidden="1" customHeight="1" spans="4:5">
      <c r="D33" s="68" t="s">
        <v>133</v>
      </c>
      <c r="E33" s="68"/>
    </row>
    <row r="34" hidden="1" spans="4:5">
      <c r="D34" s="65">
        <v>4290</v>
      </c>
      <c r="E34" s="65" t="s">
        <v>134</v>
      </c>
    </row>
    <row r="35" ht="20.4" hidden="1" spans="4:5">
      <c r="D35" s="65">
        <v>5082</v>
      </c>
      <c r="E35" s="65" t="s">
        <v>135</v>
      </c>
    </row>
    <row r="36" hidden="1" spans="4:5">
      <c r="D36" s="65">
        <v>4356</v>
      </c>
      <c r="E36" s="65" t="s">
        <v>136</v>
      </c>
    </row>
    <row r="37" ht="20.4" hidden="1" spans="4:5">
      <c r="D37" s="65">
        <v>5929</v>
      </c>
      <c r="E37" s="65" t="s">
        <v>137</v>
      </c>
    </row>
    <row r="38" hidden="1" spans="4:5">
      <c r="D38" s="65">
        <v>5005</v>
      </c>
      <c r="E38" s="65" t="s">
        <v>138</v>
      </c>
    </row>
    <row r="39" hidden="1" spans="4:5">
      <c r="D39" s="65">
        <v>4225</v>
      </c>
      <c r="E39" s="65" t="s">
        <v>139</v>
      </c>
    </row>
    <row r="40" ht="8.25" customHeight="1"/>
    <row r="41" s="39" customFormat="1" ht="12.75" customHeight="1" spans="1:11">
      <c r="A41" s="69" t="s">
        <v>140</v>
      </c>
      <c r="B41" s="69"/>
      <c r="C41" s="69"/>
      <c r="D41" s="69"/>
      <c r="E41" s="69"/>
      <c r="F41" s="69"/>
      <c r="G41" s="69"/>
      <c r="H41" s="69"/>
      <c r="I41" s="69"/>
      <c r="J41" s="69"/>
      <c r="K41" s="69"/>
    </row>
    <row r="42" s="39" customFormat="1" ht="12.75" customHeight="1" spans="1:11">
      <c r="A42" s="70" t="s">
        <v>141</v>
      </c>
      <c r="B42" s="70"/>
      <c r="C42" s="70"/>
      <c r="D42" s="70"/>
      <c r="E42" s="70"/>
      <c r="F42" s="70"/>
      <c r="G42" s="70"/>
      <c r="H42" s="70"/>
      <c r="I42" s="70"/>
      <c r="J42" s="70"/>
      <c r="K42" s="70"/>
    </row>
    <row r="43" s="39" customFormat="1" ht="15" customHeight="1" spans="1:11">
      <c r="A43" s="71" t="s">
        <v>142</v>
      </c>
      <c r="B43" s="71"/>
      <c r="C43" s="71"/>
      <c r="D43" s="71"/>
      <c r="E43" s="71"/>
      <c r="F43" s="71"/>
      <c r="G43" s="71"/>
      <c r="H43" s="71"/>
      <c r="I43" s="71"/>
      <c r="J43" s="71"/>
      <c r="K43" s="71"/>
    </row>
    <row r="44" s="39" customFormat="1" ht="15.75" customHeight="1" spans="1:11">
      <c r="A44" s="72" t="s">
        <v>143</v>
      </c>
      <c r="B44" s="72"/>
      <c r="C44" s="72"/>
      <c r="D44" s="72"/>
      <c r="E44" s="72"/>
      <c r="F44" s="72"/>
      <c r="G44" s="72"/>
      <c r="H44" s="72"/>
      <c r="I44" s="72"/>
      <c r="J44" s="72"/>
      <c r="K44" s="72"/>
    </row>
    <row r="45" ht="9" customHeight="1"/>
    <row r="46" ht="14.4" spans="1:11">
      <c r="A46" s="73" t="s">
        <v>144</v>
      </c>
      <c r="B46" s="73"/>
      <c r="C46" s="73"/>
      <c r="D46" s="73"/>
      <c r="E46" s="73"/>
      <c r="F46" s="73"/>
      <c r="G46" s="73"/>
      <c r="H46" s="73"/>
      <c r="I46" s="73"/>
      <c r="J46" s="73"/>
      <c r="K46" s="73"/>
    </row>
    <row r="47" s="60" customFormat="1" ht="12.75" customHeight="1" spans="1:11">
      <c r="A47" s="74" t="s">
        <v>145</v>
      </c>
      <c r="B47" s="75"/>
      <c r="C47" s="76" t="s">
        <v>146</v>
      </c>
      <c r="D47" s="76"/>
      <c r="E47" s="76"/>
      <c r="F47" s="76"/>
      <c r="G47" s="76"/>
      <c r="H47" s="76"/>
      <c r="I47" s="76"/>
      <c r="J47" s="76"/>
      <c r="K47" s="76"/>
    </row>
    <row r="48" s="61" customFormat="1" ht="11.25" customHeight="1" spans="1:11">
      <c r="A48" s="77"/>
      <c r="B48" s="78" t="s">
        <v>147</v>
      </c>
      <c r="C48" s="78" t="s">
        <v>148</v>
      </c>
      <c r="D48" s="78" t="s">
        <v>149</v>
      </c>
      <c r="E48" s="78" t="s">
        <v>118</v>
      </c>
      <c r="F48" s="78" t="s">
        <v>150</v>
      </c>
      <c r="G48" s="78" t="s">
        <v>122</v>
      </c>
      <c r="H48" s="79" t="s">
        <v>151</v>
      </c>
      <c r="I48" s="79"/>
      <c r="J48" s="79"/>
      <c r="K48" s="79"/>
    </row>
    <row r="49" s="61" customFormat="1" ht="11.25" customHeight="1" spans="1:11">
      <c r="A49" s="77"/>
      <c r="B49" s="78"/>
      <c r="C49" s="78"/>
      <c r="D49" s="78"/>
      <c r="E49" s="78"/>
      <c r="F49" s="78"/>
      <c r="G49" s="78"/>
      <c r="H49" s="78" t="s">
        <v>152</v>
      </c>
      <c r="I49" s="78"/>
      <c r="J49" s="78" t="s">
        <v>153</v>
      </c>
      <c r="K49" s="78" t="s">
        <v>154</v>
      </c>
    </row>
    <row r="50" s="61" customFormat="1" ht="33.75" customHeight="1" spans="1:11">
      <c r="A50" s="80">
        <v>1</v>
      </c>
      <c r="B50" s="81" t="s">
        <v>155</v>
      </c>
      <c r="C50" s="82">
        <v>43891</v>
      </c>
      <c r="D50" s="83" t="s">
        <v>116</v>
      </c>
      <c r="E50" s="83" t="s">
        <v>120</v>
      </c>
      <c r="F50" s="84" t="str">
        <f t="shared" ref="F50:F60" si="0">IF(OR((CODE($D50)*CODE($E50))=$D$36,(CODE($D50)*CODE($E50))=$D$35),$D$15,IF(OR((CODE($D50)*CODE($E50))=$D$34,(CODE($D50)*CODE($E50))=$D$37),$D$16,IF(OR((CODE($D50)*CODE($E50))=$D$38,(CODE($D50)*CODE($E50))=$D$39),$D$17,0)))</f>
        <v>Média</v>
      </c>
      <c r="G50" s="83" t="s">
        <v>123</v>
      </c>
      <c r="H50" s="85"/>
      <c r="I50" s="85"/>
      <c r="J50" s="87"/>
      <c r="K50" s="87" t="s">
        <v>156</v>
      </c>
    </row>
    <row r="51" s="61" customFormat="1" ht="11.25" customHeight="1" spans="1:11">
      <c r="A51" s="80"/>
      <c r="B51" s="81"/>
      <c r="C51" s="82"/>
      <c r="D51" s="83" t="s">
        <v>115</v>
      </c>
      <c r="E51" s="83"/>
      <c r="F51" s="84" t="e">
        <f t="shared" si="0"/>
        <v>#VALUE!</v>
      </c>
      <c r="G51" s="83"/>
      <c r="H51" s="86"/>
      <c r="I51" s="88"/>
      <c r="J51" s="87"/>
      <c r="K51" s="87"/>
    </row>
    <row r="52" s="61" customFormat="1" ht="11.25" customHeight="1" spans="1:11">
      <c r="A52" s="80"/>
      <c r="B52" s="81"/>
      <c r="C52" s="82"/>
      <c r="D52" s="83"/>
      <c r="E52" s="83"/>
      <c r="F52" s="84" t="e">
        <f t="shared" si="0"/>
        <v>#VALUE!</v>
      </c>
      <c r="G52" s="83"/>
      <c r="H52" s="86"/>
      <c r="I52" s="88"/>
      <c r="J52" s="87"/>
      <c r="K52" s="87"/>
    </row>
    <row r="53" s="61" customFormat="1" ht="11.25" customHeight="1" spans="1:11">
      <c r="A53" s="80"/>
      <c r="B53" s="81"/>
      <c r="C53" s="82"/>
      <c r="D53" s="83"/>
      <c r="E53" s="83"/>
      <c r="F53" s="84" t="e">
        <f t="shared" si="0"/>
        <v>#VALUE!</v>
      </c>
      <c r="G53" s="83"/>
      <c r="H53" s="86"/>
      <c r="I53" s="88"/>
      <c r="J53" s="87"/>
      <c r="K53" s="87"/>
    </row>
    <row r="54" s="61" customFormat="1" ht="11.25" customHeight="1" spans="1:11">
      <c r="A54" s="80"/>
      <c r="B54" s="81"/>
      <c r="C54" s="82"/>
      <c r="D54" s="83"/>
      <c r="E54" s="83"/>
      <c r="F54" s="84" t="e">
        <f t="shared" si="0"/>
        <v>#VALUE!</v>
      </c>
      <c r="G54" s="83"/>
      <c r="H54" s="86"/>
      <c r="I54" s="88"/>
      <c r="J54" s="87"/>
      <c r="K54" s="87"/>
    </row>
    <row r="55" s="61" customFormat="1" ht="11.25" customHeight="1" spans="1:11">
      <c r="A55" s="80"/>
      <c r="B55" s="81"/>
      <c r="C55" s="82"/>
      <c r="D55" s="83"/>
      <c r="E55" s="83"/>
      <c r="F55" s="84" t="e">
        <f t="shared" si="0"/>
        <v>#VALUE!</v>
      </c>
      <c r="G55" s="83"/>
      <c r="H55" s="86"/>
      <c r="I55" s="88"/>
      <c r="J55" s="87"/>
      <c r="K55" s="87"/>
    </row>
    <row r="56" s="61" customFormat="1" ht="11.25" customHeight="1" spans="1:11">
      <c r="A56" s="80"/>
      <c r="B56" s="81"/>
      <c r="C56" s="82"/>
      <c r="D56" s="83"/>
      <c r="E56" s="83"/>
      <c r="F56" s="84" t="e">
        <f t="shared" si="0"/>
        <v>#VALUE!</v>
      </c>
      <c r="G56" s="83"/>
      <c r="H56" s="86"/>
      <c r="I56" s="88"/>
      <c r="J56" s="87"/>
      <c r="K56" s="87"/>
    </row>
    <row r="57" s="61" customFormat="1" ht="11.25" customHeight="1" spans="1:11">
      <c r="A57" s="80"/>
      <c r="B57" s="81"/>
      <c r="C57" s="82"/>
      <c r="D57" s="83"/>
      <c r="E57" s="83"/>
      <c r="F57" s="84" t="e">
        <f t="shared" si="0"/>
        <v>#VALUE!</v>
      </c>
      <c r="G57" s="83"/>
      <c r="H57" s="86"/>
      <c r="I57" s="88"/>
      <c r="J57" s="87"/>
      <c r="K57" s="87"/>
    </row>
    <row r="58" s="61" customFormat="1" ht="11.25" customHeight="1" spans="1:11">
      <c r="A58" s="80"/>
      <c r="B58" s="81"/>
      <c r="C58" s="82"/>
      <c r="D58" s="83"/>
      <c r="E58" s="83"/>
      <c r="F58" s="84" t="e">
        <f t="shared" si="0"/>
        <v>#VALUE!</v>
      </c>
      <c r="G58" s="83"/>
      <c r="H58" s="86"/>
      <c r="I58" s="88"/>
      <c r="J58" s="87"/>
      <c r="K58" s="87"/>
    </row>
    <row r="59" s="61" customFormat="1" ht="11.25" customHeight="1" spans="1:11">
      <c r="A59" s="80"/>
      <c r="B59" s="81"/>
      <c r="C59" s="82"/>
      <c r="D59" s="83"/>
      <c r="E59" s="83"/>
      <c r="F59" s="84" t="e">
        <f t="shared" si="0"/>
        <v>#VALUE!</v>
      </c>
      <c r="G59" s="83"/>
      <c r="H59" s="85"/>
      <c r="I59" s="85"/>
      <c r="J59" s="87"/>
      <c r="K59" s="87"/>
    </row>
    <row r="60" s="61" customFormat="1" ht="11.25" customHeight="1" spans="1:11">
      <c r="A60" s="80"/>
      <c r="B60" s="81"/>
      <c r="C60" s="82"/>
      <c r="D60" s="83"/>
      <c r="E60" s="83"/>
      <c r="F60" s="84" t="e">
        <f t="shared" si="0"/>
        <v>#VALUE!</v>
      </c>
      <c r="G60" s="83"/>
      <c r="H60" s="85"/>
      <c r="I60" s="85"/>
      <c r="J60" s="87"/>
      <c r="K60" s="87"/>
    </row>
  </sheetData>
  <mergeCells count="20">
    <mergeCell ref="A1:K1"/>
    <mergeCell ref="D33:E33"/>
    <mergeCell ref="A41:K41"/>
    <mergeCell ref="A42:K42"/>
    <mergeCell ref="A43:K43"/>
    <mergeCell ref="A44:K44"/>
    <mergeCell ref="A46:K46"/>
    <mergeCell ref="C47:K47"/>
    <mergeCell ref="H48:K48"/>
    <mergeCell ref="H49:I49"/>
    <mergeCell ref="H50:I50"/>
    <mergeCell ref="H59:I59"/>
    <mergeCell ref="H60:I60"/>
    <mergeCell ref="A48:A49"/>
    <mergeCell ref="B48:B49"/>
    <mergeCell ref="C48:C49"/>
    <mergeCell ref="D48:D49"/>
    <mergeCell ref="E48:E49"/>
    <mergeCell ref="F48:F49"/>
    <mergeCell ref="G48:G49"/>
  </mergeCells>
  <conditionalFormatting sqref="F50:F60">
    <cfRule type="cellIs" dxfId="3" priority="8" stopIfTrue="1" operator="equal">
      <formula>$D$15</formula>
    </cfRule>
    <cfRule type="cellIs" dxfId="4" priority="9" stopIfTrue="1" operator="equal">
      <formula>$D$16</formula>
    </cfRule>
    <cfRule type="cellIs" dxfId="5" priority="10" stopIfTrue="1" operator="equal">
      <formula>$D$17</formula>
    </cfRule>
  </conditionalFormatting>
  <dataValidations count="4">
    <dataValidation type="list" allowBlank="1" showInputMessage="1" showErrorMessage="1" sqref="H65554:I65554 JC65554:JD65554 SY65554:SZ65554 ACU65554:ACV65554 H65565:I65565 JC65565:JD65565 SY65565:SZ65565 ACU65565:ACV65565 H65576:I65576 JC65576:JD65576 SY65576:SZ65576 ACU65576:ACV65576 H65587:I65587 JC65587:JD65587 SY65587:SZ65587 ACU65587:ACV65587 H131090:I131090 JC131090:JD131090 SY131090:SZ131090 ACU131090:ACV131090 H131101:I131101 JC131101:JD131101 SY131101:SZ131101 ACU131101:ACV131101 H131112:I131112 JC131112:JD131112 SY131112:SZ131112 ACU131112:ACV131112 H131123:I131123 JC131123:JD131123 SY131123:SZ131123 ACU131123:ACV131123 H196626:I196626 JC196626:JD196626 SY196626:SZ196626 ACU196626:ACV196626 H196637:I196637 JC196637:JD196637 SY196637:SZ196637 ACU196637:ACV196637 H196648:I196648 JC196648:JD196648 SY196648:SZ196648 ACU196648:ACV196648 H196659:I196659 JC196659:JD196659 SY196659:SZ196659 ACU196659:ACV196659 H262162:I262162 JC262162:JD262162 SY262162:SZ262162 ACU262162:ACV262162 H262173:I262173 JC262173:JD262173 SY262173:SZ262173 ACU262173:ACV262173 H262184:I262184 JC262184:JD262184 SY262184:SZ262184 ACU262184:ACV262184 H262195:I262195 JC262195:JD262195 SY262195:SZ262195 ACU262195:ACV262195 H327698:I327698 JC327698:JD327698 SY327698:SZ327698 ACU327698:ACV327698 H327709:I327709 JC327709:JD327709 SY327709:SZ327709 ACU327709:ACV327709 H327720:I327720 JC327720:JD327720 SY327720:SZ327720 ACU327720:ACV327720 H327731:I327731 JC327731:JD327731 SY327731:SZ327731 ACU327731:ACV327731 H393234:I393234 JC393234:JD393234 SY393234:SZ393234 ACU393234:ACV393234 H393245:I393245 JC393245:JD393245 SY393245:SZ393245 ACU393245:ACV393245 H393256:I393256 JC393256:JD393256 SY393256:SZ393256 ACU393256:ACV393256 H393267:I393267 JC393267:JD393267 SY393267:SZ393267 ACU393267:ACV393267 H458770:I458770 JC458770:JD458770 SY458770:SZ458770 ACU458770:ACV458770 H458781:I458781 JC458781:JD458781 SY458781:SZ458781 ACU458781:ACV458781 H458792:I458792 JC458792:JD458792 SY458792:SZ458792 ACU458792:ACV458792 H458803:I458803 JC458803:JD458803 SY458803:SZ458803 ACU458803:ACV458803 H524306:I524306 JC524306:JD524306 SY524306:SZ524306 ACU524306:ACV524306 H524317:I524317 JC524317:JD524317 SY524317:SZ524317 ACU524317:ACV524317 H524328:I524328 JC524328:JD524328 SY524328:SZ524328 ACU524328:ACV524328 H524339:I524339 JC524339:JD524339 SY524339:SZ524339 ACU524339:ACV524339 H589842:I589842 JC589842:JD589842 SY589842:SZ589842 ACU589842:ACV589842 H589853:I589853 JC589853:JD589853 SY589853:SZ589853 ACU589853:ACV589853 H589864:I589864 JC589864:JD589864 SY589864:SZ589864 ACU589864:ACV589864 H589875:I589875 JC589875:JD589875 SY589875:SZ589875 ACU589875:ACV589875 H655378:I655378 JC655378:JD655378 SY655378:SZ655378 ACU655378:ACV655378 H655389:I655389 JC655389:JD655389 SY655389:SZ655389 ACU655389:ACV655389 H655400:I655400 JC655400:JD655400 SY655400:SZ655400 ACU655400:ACV655400 H655411:I655411 JC655411:JD655411 SY655411:SZ655411 ACU655411:ACV655411 H720914:I720914 JC720914:JD720914 SY720914:SZ720914 ACU720914:ACV720914 H720925:I720925 JC720925:JD720925 SY720925:SZ720925 ACU720925:ACV720925 H720936:I720936 JC720936:JD720936 SY720936:SZ720936 ACU720936:ACV720936 H720947:I720947 JC720947:JD720947 SY720947:SZ720947 ACU720947:ACV720947 H786450:I786450 JC786450:JD786450 SY786450:SZ786450 ACU786450:ACV786450 H786461:I786461 JC786461:JD786461 SY786461:SZ786461 ACU786461:ACV786461 H786472:I786472 JC786472:JD786472 SY786472:SZ786472 ACU786472:ACV786472 H786483:I786483 JC786483:JD786483 SY786483:SZ786483 ACU786483:ACV786483 H851986:I851986 JC851986:JD851986 SY851986:SZ851986 ACU851986:ACV851986 H851997:I851997 JC851997:JD851997 SY851997:SZ851997 ACU851997:ACV851997 H852008:I852008 JC852008:JD852008 SY852008:SZ852008 ACU852008:ACV852008 H852019:I852019 JC852019:JD852019 SY852019:SZ852019 ACU852019:ACV852019 H917522:I917522 JC917522:JD917522 SY917522:SZ917522 ACU917522:ACV917522 H917533:I917533 JC917533:JD917533 SY917533:SZ917533 ACU917533:ACV917533 H917544:I917544 JC917544:JD917544 SY917544:SZ917544 ACU917544:ACV917544 H917555:I917555 JC917555:JD917555 SY917555:SZ917555 ACU917555:ACV917555 H983058:I983058 JC983058:JD983058 SY983058:SZ983058 ACU983058:ACV983058 H983069:I983069 JC983069:JD983069 SY983069:SZ983069 ACU983069:ACV983069 H983080:I983080 JC983080:JD983080 SY983080:SZ983080 ACU983080:ACV983080 H983091:I983091 JC983091:JD983091 SY983091:SZ983091 ACU983091:ACV983091">
      <formula1>$D$4:$D$13</formula1>
    </dataValidation>
    <dataValidation type="list" allowBlank="1" showInputMessage="1" showErrorMessage="1" sqref="D50:D60 D65558:D65560 D65569:D65571 D65580:D65582 D65591:D65593 D131094:D131096 D131105:D131107 D131116:D131118 D131127:D131129 D196630:D196632 D196641:D196643 D196652:D196654 D196663:D196665 D262166:D262168 D262177:D262179 D262188:D262190 D262199:D262201 D327702:D327704 D327713:D327715 D327724:D327726 D327735:D327737 D393238:D393240 D393249:D393251 D393260:D393262 D393271:D393273 D458774:D458776 D458785:D458787 D458796:D458798 D458807:D458809 D524310:D524312 D524321:D524323 D524332:D524334 D524343:D524345 D589846:D589848 D589857:D589859 D589868:D589870 D589879:D589881 D655382:D655384 D655393:D655395 D655404:D655406 D655415:D655417 D720918:D720920 D720929:D720931 D720940:D720942 D720951:D720953 D786454:D786456 D786465:D786467 D786476:D786478 D786487:D786489 D851990:D851992 D852001:D852003 D852012:D852014 D852023:D852025 D917526:D917528 D917537:D917539 D917548:D917550 D917559:D917561 D983062:D983064 D983073:D983075 D983084:D983086 D983095:D983097 IY50:IY60 IY65558:IY65560 IY65569:IY65571 IY65580:IY65582 IY65591:IY65593 IY131094:IY131096 IY131105:IY131107 IY131116:IY131118 IY131127:IY131129 IY196630:IY196632 IY196641:IY196643 IY196652:IY196654 IY196663:IY196665 IY262166:IY262168 IY262177:IY262179 IY262188:IY262190 IY262199:IY262201 IY327702:IY327704 IY327713:IY327715 IY327724:IY327726 IY327735:IY327737 IY393238:IY393240 IY393249:IY393251 IY393260:IY393262 IY393271:IY393273 IY458774:IY458776 IY458785:IY458787 IY458796:IY458798 IY458807:IY458809 IY524310:IY524312 IY524321:IY524323 IY524332:IY524334 IY524343:IY524345 IY589846:IY589848 IY589857:IY589859 IY589868:IY589870 IY589879:IY589881 IY655382:IY655384 IY655393:IY655395 IY655404:IY655406 IY655415:IY655417 IY720918:IY720920 IY720929:IY720931 IY720940:IY720942 IY720951:IY720953 IY786454:IY786456 IY786465:IY786467 IY786476:IY786478 IY786487:IY786489 IY851990:IY851992 IY852001:IY852003 IY852012:IY852014 IY852023:IY852025 IY917526:IY917528 IY917537:IY917539 IY917548:IY917550 IY917559:IY917561 IY983062:IY983064 IY983073:IY983075 IY983084:IY983086 IY983095:IY983097 SU50:SU60 SU65558:SU65560 SU65569:SU65571 SU65580:SU65582 SU65591:SU65593 SU131094:SU131096 SU131105:SU131107 SU131116:SU131118 SU131127:SU131129 SU196630:SU196632 SU196641:SU196643 SU196652:SU196654 SU196663:SU196665 SU262166:SU262168 SU262177:SU262179 SU262188:SU262190 SU262199:SU262201 SU327702:SU327704 SU327713:SU327715 SU327724:SU327726 SU327735:SU327737 SU393238:SU393240 SU393249:SU393251 SU393260:SU393262 SU393271:SU393273 SU458774:SU458776 SU458785:SU458787 SU458796:SU458798 SU458807:SU458809 SU524310:SU524312 SU524321:SU524323 SU524332:SU524334 SU524343:SU524345 SU589846:SU589848 SU589857:SU589859 SU589868:SU589870 SU589879:SU589881 SU655382:SU655384 SU655393:SU655395 SU655404:SU655406 SU655415:SU655417 SU720918:SU720920 SU720929:SU720931 SU720940:SU720942 SU720951:SU720953 SU786454:SU786456 SU786465:SU786467 SU786476:SU786478 SU786487:SU786489 SU851990:SU851992 SU852001:SU852003 SU852012:SU852014 SU852023:SU852025 SU917526:SU917528 SU917537:SU917539 SU917548:SU917550 SU917559:SU917561 SU983062:SU983064 SU983073:SU983075 SU983084:SU983086 SU983095:SU983097 ACQ50:ACQ60 ACQ65558:ACQ65560 ACQ65569:ACQ65571 ACQ65580:ACQ65582 ACQ65591:ACQ65593 ACQ131094:ACQ131096 ACQ131105:ACQ131107 ACQ131116:ACQ131118 ACQ131127:ACQ131129 ACQ196630:ACQ196632 ACQ196641:ACQ196643 ACQ196652:ACQ196654 ACQ196663:ACQ196665 ACQ262166:ACQ262168 ACQ262177:ACQ262179 ACQ262188:ACQ262190 ACQ262199:ACQ262201 ACQ327702:ACQ327704 ACQ327713:ACQ327715 ACQ327724:ACQ327726 ACQ327735:ACQ327737 ACQ393238:ACQ393240 ACQ393249:ACQ393251 ACQ393260:ACQ393262 ACQ393271:ACQ393273 ACQ458774:ACQ458776 ACQ458785:ACQ458787 ACQ458796:ACQ458798 ACQ458807:ACQ458809 ACQ524310:ACQ524312 ACQ524321:ACQ524323 ACQ524332:ACQ524334 ACQ524343:ACQ524345 ACQ589846:ACQ589848 ACQ589857:ACQ589859 ACQ589868:ACQ589870 ACQ589879:ACQ589881 ACQ655382:ACQ655384 ACQ655393:ACQ655395 ACQ655404:ACQ655406 ACQ655415:ACQ655417 ACQ720918:ACQ720920 ACQ720929:ACQ720931 ACQ720940:ACQ720942 ACQ720951:ACQ720953 ACQ786454:ACQ786456 ACQ786465:ACQ786467 ACQ786476:ACQ786478 ACQ786487:ACQ786489 ACQ851990:ACQ851992 ACQ852001:ACQ852003 ACQ852012:ACQ852014 ACQ852023:ACQ852025 ACQ917526:ACQ917528 ACQ917537:ACQ917539 ACQ917548:ACQ917550 ACQ917559:ACQ917561 ACQ983062:ACQ983064 ACQ983073:ACQ983075 ACQ983084:ACQ983086 ACQ983095:ACQ983097">
      <formula1>$D$15:$D$17</formula1>
    </dataValidation>
    <dataValidation type="list" allowBlank="1" showInputMessage="1" showErrorMessage="1" sqref="E50:E60 E65558:E65560 E65569:E65571 E65580:E65582 E65591:E65593 E131094:E131096 E131105:E131107 E131116:E131118 E131127:E131129 E196630:E196632 E196641:E196643 E196652:E196654 E196663:E196665 E262166:E262168 E262177:E262179 E262188:E262190 E262199:E262201 E327702:E327704 E327713:E327715 E327724:E327726 E327735:E327737 E393238:E393240 E393249:E393251 E393260:E393262 E393271:E393273 E458774:E458776 E458785:E458787 E458796:E458798 E458807:E458809 E524310:E524312 E524321:E524323 E524332:E524334 E524343:E524345 E589846:E589848 E589857:E589859 E589868:E589870 E589879:E589881 E655382:E655384 E655393:E655395 E655404:E655406 E655415:E655417 E720918:E720920 E720929:E720931 E720940:E720942 E720951:E720953 E786454:E786456 E786465:E786467 E786476:E786478 E786487:E786489 E851990:E851992 E852001:E852003 E852012:E852014 E852023:E852025 E917526:E917528 E917537:E917539 E917548:E917550 E917559:E917561 E983062:E983064 E983073:E983075 E983084:E983086 E983095:E983097 IZ50:IZ60 IZ65558:IZ65560 IZ65569:IZ65571 IZ65580:IZ65582 IZ65591:IZ65593 IZ131094:IZ131096 IZ131105:IZ131107 IZ131116:IZ131118 IZ131127:IZ131129 IZ196630:IZ196632 IZ196641:IZ196643 IZ196652:IZ196654 IZ196663:IZ196665 IZ262166:IZ262168 IZ262177:IZ262179 IZ262188:IZ262190 IZ262199:IZ262201 IZ327702:IZ327704 IZ327713:IZ327715 IZ327724:IZ327726 IZ327735:IZ327737 IZ393238:IZ393240 IZ393249:IZ393251 IZ393260:IZ393262 IZ393271:IZ393273 IZ458774:IZ458776 IZ458785:IZ458787 IZ458796:IZ458798 IZ458807:IZ458809 IZ524310:IZ524312 IZ524321:IZ524323 IZ524332:IZ524334 IZ524343:IZ524345 IZ589846:IZ589848 IZ589857:IZ589859 IZ589868:IZ589870 IZ589879:IZ589881 IZ655382:IZ655384 IZ655393:IZ655395 IZ655404:IZ655406 IZ655415:IZ655417 IZ720918:IZ720920 IZ720929:IZ720931 IZ720940:IZ720942 IZ720951:IZ720953 IZ786454:IZ786456 IZ786465:IZ786467 IZ786476:IZ786478 IZ786487:IZ786489 IZ851990:IZ851992 IZ852001:IZ852003 IZ852012:IZ852014 IZ852023:IZ852025 IZ917526:IZ917528 IZ917537:IZ917539 IZ917548:IZ917550 IZ917559:IZ917561 IZ983062:IZ983064 IZ983073:IZ983075 IZ983084:IZ983086 IZ983095:IZ983097 SV50:SV60 SV65558:SV65560 SV65569:SV65571 SV65580:SV65582 SV65591:SV65593 SV131094:SV131096 SV131105:SV131107 SV131116:SV131118 SV131127:SV131129 SV196630:SV196632 SV196641:SV196643 SV196652:SV196654 SV196663:SV196665 SV262166:SV262168 SV262177:SV262179 SV262188:SV262190 SV262199:SV262201 SV327702:SV327704 SV327713:SV327715 SV327724:SV327726 SV327735:SV327737 SV393238:SV393240 SV393249:SV393251 SV393260:SV393262 SV393271:SV393273 SV458774:SV458776 SV458785:SV458787 SV458796:SV458798 SV458807:SV458809 SV524310:SV524312 SV524321:SV524323 SV524332:SV524334 SV524343:SV524345 SV589846:SV589848 SV589857:SV589859 SV589868:SV589870 SV589879:SV589881 SV655382:SV655384 SV655393:SV655395 SV655404:SV655406 SV655415:SV655417 SV720918:SV720920 SV720929:SV720931 SV720940:SV720942 SV720951:SV720953 SV786454:SV786456 SV786465:SV786467 SV786476:SV786478 SV786487:SV786489 SV851990:SV851992 SV852001:SV852003 SV852012:SV852014 SV852023:SV852025 SV917526:SV917528 SV917537:SV917539 SV917548:SV917550 SV917559:SV917561 SV983062:SV983064 SV983073:SV983075 SV983084:SV983086 SV983095:SV983097 ACR50:ACR60 ACR65558:ACR65560 ACR65569:ACR65571 ACR65580:ACR65582 ACR65591:ACR65593 ACR131094:ACR131096 ACR131105:ACR131107 ACR131116:ACR131118 ACR131127:ACR131129 ACR196630:ACR196632 ACR196641:ACR196643 ACR196652:ACR196654 ACR196663:ACR196665 ACR262166:ACR262168 ACR262177:ACR262179 ACR262188:ACR262190 ACR262199:ACR262201 ACR327702:ACR327704 ACR327713:ACR327715 ACR327724:ACR327726 ACR327735:ACR327737 ACR393238:ACR393240 ACR393249:ACR393251 ACR393260:ACR393262 ACR393271:ACR393273 ACR458774:ACR458776 ACR458785:ACR458787 ACR458796:ACR458798 ACR458807:ACR458809 ACR524310:ACR524312 ACR524321:ACR524323 ACR524332:ACR524334 ACR524343:ACR524345 ACR589846:ACR589848 ACR589857:ACR589859 ACR589868:ACR589870 ACR589879:ACR589881 ACR655382:ACR655384 ACR655393:ACR655395 ACR655404:ACR655406 ACR655415:ACR655417 ACR720918:ACR720920 ACR720929:ACR720931 ACR720940:ACR720942 ACR720951:ACR720953 ACR786454:ACR786456 ACR786465:ACR786467 ACR786476:ACR786478 ACR786487:ACR786489 ACR851990:ACR851992 ACR852001:ACR852003 ACR852012:ACR852014 ACR852023:ACR852025 ACR917526:ACR917528 ACR917537:ACR917539 ACR917548:ACR917550 ACR917559:ACR917561 ACR983062:ACR983064 ACR983073:ACR983075 ACR983084:ACR983086 ACR983095:ACR983097">
      <formula1>$D$19:$D$21</formula1>
    </dataValidation>
    <dataValidation type="list" allowBlank="1" showInputMessage="1" showErrorMessage="1" sqref="G50:G60 G65558:G65560 G65569:G65571 G65580:G65582 G65591:G65593 G131094:G131096 G131105:G131107 G131116:G131118 G131127:G131129 G196630:G196632 G196641:G196643 G196652:G196654 G196663:G196665 G262166:G262168 G262177:G262179 G262188:G262190 G262199:G262201 G327702:G327704 G327713:G327715 G327724:G327726 G327735:G327737 G393238:G393240 G393249:G393251 G393260:G393262 G393271:G393273 G458774:G458776 G458785:G458787 G458796:G458798 G458807:G458809 G524310:G524312 G524321:G524323 G524332:G524334 G524343:G524345 G589846:G589848 G589857:G589859 G589868:G589870 G589879:G589881 G655382:G655384 G655393:G655395 G655404:G655406 G655415:G655417 G720918:G720920 G720929:G720931 G720940:G720942 G720951:G720953 G786454:G786456 G786465:G786467 G786476:G786478 G786487:G786489 G851990:G851992 G852001:G852003 G852012:G852014 G852023:G852025 G917526:G917528 G917537:G917539 G917548:G917550 G917559:G917561 G983062:G983064 G983073:G983075 G983084:G983086 G983095:G983097 JB50:JB60 JB65558:JB65560 JB65569:JB65571 JB65580:JB65582 JB65591:JB65593 JB131094:JB131096 JB131105:JB131107 JB131116:JB131118 JB131127:JB131129 JB196630:JB196632 JB196641:JB196643 JB196652:JB196654 JB196663:JB196665 JB262166:JB262168 JB262177:JB262179 JB262188:JB262190 JB262199:JB262201 JB327702:JB327704 JB327713:JB327715 JB327724:JB327726 JB327735:JB327737 JB393238:JB393240 JB393249:JB393251 JB393260:JB393262 JB393271:JB393273 JB458774:JB458776 JB458785:JB458787 JB458796:JB458798 JB458807:JB458809 JB524310:JB524312 JB524321:JB524323 JB524332:JB524334 JB524343:JB524345 JB589846:JB589848 JB589857:JB589859 JB589868:JB589870 JB589879:JB589881 JB655382:JB655384 JB655393:JB655395 JB655404:JB655406 JB655415:JB655417 JB720918:JB720920 JB720929:JB720931 JB720940:JB720942 JB720951:JB720953 JB786454:JB786456 JB786465:JB786467 JB786476:JB786478 JB786487:JB786489 JB851990:JB851992 JB852001:JB852003 JB852012:JB852014 JB852023:JB852025 JB917526:JB917528 JB917537:JB917539 JB917548:JB917550 JB917559:JB917561 JB983062:JB983064 JB983073:JB983075 JB983084:JB983086 JB983095:JB983097 SX50:SX60 SX65558:SX65560 SX65569:SX65571 SX65580:SX65582 SX65591:SX65593 SX131094:SX131096 SX131105:SX131107 SX131116:SX131118 SX131127:SX131129 SX196630:SX196632 SX196641:SX196643 SX196652:SX196654 SX196663:SX196665 SX262166:SX262168 SX262177:SX262179 SX262188:SX262190 SX262199:SX262201 SX327702:SX327704 SX327713:SX327715 SX327724:SX327726 SX327735:SX327737 SX393238:SX393240 SX393249:SX393251 SX393260:SX393262 SX393271:SX393273 SX458774:SX458776 SX458785:SX458787 SX458796:SX458798 SX458807:SX458809 SX524310:SX524312 SX524321:SX524323 SX524332:SX524334 SX524343:SX524345 SX589846:SX589848 SX589857:SX589859 SX589868:SX589870 SX589879:SX589881 SX655382:SX655384 SX655393:SX655395 SX655404:SX655406 SX655415:SX655417 SX720918:SX720920 SX720929:SX720931 SX720940:SX720942 SX720951:SX720953 SX786454:SX786456 SX786465:SX786467 SX786476:SX786478 SX786487:SX786489 SX851990:SX851992 SX852001:SX852003 SX852012:SX852014 SX852023:SX852025 SX917526:SX917528 SX917537:SX917539 SX917548:SX917550 SX917559:SX917561 SX983062:SX983064 SX983073:SX983075 SX983084:SX983086 SX983095:SX983097 ACT50:ACT60 ACT65558:ACT65560 ACT65569:ACT65571 ACT65580:ACT65582 ACT65591:ACT65593 ACT131094:ACT131096 ACT131105:ACT131107 ACT131116:ACT131118 ACT131127:ACT131129 ACT196630:ACT196632 ACT196641:ACT196643 ACT196652:ACT196654 ACT196663:ACT196665 ACT262166:ACT262168 ACT262177:ACT262179 ACT262188:ACT262190 ACT262199:ACT262201 ACT327702:ACT327704 ACT327713:ACT327715 ACT327724:ACT327726 ACT327735:ACT327737 ACT393238:ACT393240 ACT393249:ACT393251 ACT393260:ACT393262 ACT393271:ACT393273 ACT458774:ACT458776 ACT458785:ACT458787 ACT458796:ACT458798 ACT458807:ACT458809 ACT524310:ACT524312 ACT524321:ACT524323 ACT524332:ACT524334 ACT524343:ACT524345 ACT589846:ACT589848 ACT589857:ACT589859 ACT589868:ACT589870 ACT589879:ACT589881 ACT655382:ACT655384 ACT655393:ACT655395 ACT655404:ACT655406 ACT655415:ACT655417 ACT720918:ACT720920 ACT720929:ACT720931 ACT720940:ACT720942 ACT720951:ACT720953 ACT786454:ACT786456 ACT786465:ACT786467 ACT786476:ACT786478 ACT786487:ACT786489 ACT851990:ACT851992 ACT852001:ACT852003 ACT852012:ACT852014 ACT852023:ACT852025 ACT917526:ACT917528 ACT917537:ACT917539 ACT917548:ACT917550 ACT917559:ACT917561 ACT983062:ACT983064 ACT983073:ACT983075 ACT983084:ACT983086 ACT983095:ACT983097">
      <formula1>$D$23:$D$26</formula1>
    </dataValidation>
  </dataValidations>
  <pageMargins left="0.511811023622047" right="0.511811023622047" top="1.18110236220472" bottom="1.18110236220472" header="0.78740157480315" footer="0.78740157480315"/>
  <pageSetup paperSize="9" fitToWidth="0" fitToHeight="0" orientation="landscape"/>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W27"/>
  <sheetViews>
    <sheetView workbookViewId="0">
      <selection activeCell="A1" sqref="A1:N1"/>
    </sheetView>
  </sheetViews>
  <sheetFormatPr defaultColWidth="9" defaultRowHeight="14.4"/>
  <cols>
    <col min="1" max="1" width="14.125" style="1" customWidth="1"/>
    <col min="2" max="2" width="11.75" style="1" customWidth="1"/>
    <col min="3" max="3" width="0.875" style="1" customWidth="1"/>
    <col min="4" max="4" width="28.125" style="1" customWidth="1"/>
    <col min="5" max="5" width="11.75" style="1" customWidth="1"/>
    <col min="6" max="6" width="1.125" style="1" customWidth="1"/>
    <col min="7" max="7" width="12.375" style="1" customWidth="1"/>
    <col min="8" max="8" width="7" style="1" customWidth="1"/>
    <col min="9" max="9" width="5.5" style="1" customWidth="1"/>
    <col min="10" max="10" width="8.5" style="1" customWidth="1"/>
    <col min="11" max="11" width="10.5" style="1" customWidth="1"/>
    <col min="12" max="12" width="1.375" style="1" customWidth="1"/>
    <col min="13" max="13" width="37.375" style="1" customWidth="1"/>
    <col min="14" max="14" width="10" style="1" customWidth="1"/>
    <col min="15" max="1024" width="8.125" style="1" customWidth="1"/>
    <col min="1025" max="1025" width="9" customWidth="1"/>
  </cols>
  <sheetData>
    <row r="1" s="39" customFormat="1" ht="21" customHeight="1" spans="1:14">
      <c r="A1" s="3" t="s">
        <v>157</v>
      </c>
      <c r="B1" s="3"/>
      <c r="C1" s="3"/>
      <c r="D1" s="3"/>
      <c r="E1" s="3"/>
      <c r="F1" s="3"/>
      <c r="G1" s="3"/>
      <c r="H1" s="3"/>
      <c r="I1" s="3"/>
      <c r="J1" s="3"/>
      <c r="K1" s="3"/>
      <c r="L1" s="3"/>
      <c r="M1" s="3"/>
      <c r="N1" s="3"/>
    </row>
    <row r="2" s="40" customFormat="1" ht="12.75" customHeight="1" spans="1:14">
      <c r="A2" s="42" t="s">
        <v>140</v>
      </c>
      <c r="B2" s="42"/>
      <c r="C2" s="42"/>
      <c r="D2" s="42"/>
      <c r="E2" s="42"/>
      <c r="F2" s="42"/>
      <c r="G2" s="42"/>
      <c r="H2" s="42"/>
      <c r="I2" s="42"/>
      <c r="J2" s="42"/>
      <c r="K2" s="42"/>
      <c r="L2" s="42"/>
      <c r="M2" s="42"/>
      <c r="N2" s="42"/>
    </row>
    <row r="3" s="40" customFormat="1" ht="15" customHeight="1" spans="1:14">
      <c r="A3" s="43" t="s">
        <v>158</v>
      </c>
      <c r="B3" s="43"/>
      <c r="C3" s="43"/>
      <c r="D3" s="43"/>
      <c r="E3" s="43"/>
      <c r="F3" s="43"/>
      <c r="G3" s="43"/>
      <c r="H3" s="43"/>
      <c r="I3" s="43"/>
      <c r="J3" s="43"/>
      <c r="K3" s="43"/>
      <c r="L3" s="43"/>
      <c r="M3" s="43"/>
      <c r="N3" s="43"/>
    </row>
    <row r="4" s="40" customFormat="1" ht="15" customHeight="1" spans="1:14">
      <c r="A4" s="44" t="s">
        <v>159</v>
      </c>
      <c r="B4" s="44"/>
      <c r="C4" s="44"/>
      <c r="D4" s="44"/>
      <c r="E4" s="44"/>
      <c r="F4" s="44"/>
      <c r="G4" s="44"/>
      <c r="H4" s="44"/>
      <c r="I4" s="44"/>
      <c r="J4" s="44"/>
      <c r="K4" s="44"/>
      <c r="L4" s="44"/>
      <c r="M4" s="44"/>
      <c r="N4" s="44"/>
    </row>
    <row r="5" s="40" customFormat="1" ht="15.75" customHeight="1" spans="1:14">
      <c r="A5" s="45" t="s">
        <v>160</v>
      </c>
      <c r="B5" s="45"/>
      <c r="C5" s="45"/>
      <c r="D5" s="45"/>
      <c r="E5" s="45"/>
      <c r="F5" s="45"/>
      <c r="G5" s="45"/>
      <c r="H5" s="45"/>
      <c r="I5" s="45"/>
      <c r="J5" s="45"/>
      <c r="K5" s="45"/>
      <c r="L5" s="45"/>
      <c r="M5" s="45"/>
      <c r="N5" s="45"/>
    </row>
    <row r="6" s="41" customFormat="1" ht="20.25" customHeight="1"/>
    <row r="7" s="41" customFormat="1" ht="12" customHeight="1" spans="1:14">
      <c r="A7" s="46" t="s">
        <v>161</v>
      </c>
      <c r="B7" s="46"/>
      <c r="D7" s="46" t="s">
        <v>162</v>
      </c>
      <c r="E7" s="46"/>
      <c r="G7" s="46" t="s">
        <v>163</v>
      </c>
      <c r="H7" s="46"/>
      <c r="I7" s="46"/>
      <c r="J7" s="46"/>
      <c r="K7" s="46"/>
      <c r="M7" s="46" t="s">
        <v>164</v>
      </c>
      <c r="N7" s="46"/>
    </row>
    <row r="8" s="41" customFormat="1" ht="17.25" customHeight="1" spans="1:14">
      <c r="A8" s="47" t="s">
        <v>165</v>
      </c>
      <c r="B8" s="48" t="s">
        <v>166</v>
      </c>
      <c r="D8" s="47" t="s">
        <v>167</v>
      </c>
      <c r="E8" s="48" t="s">
        <v>166</v>
      </c>
      <c r="G8" s="47" t="s">
        <v>168</v>
      </c>
      <c r="H8" s="47" t="s">
        <v>169</v>
      </c>
      <c r="I8" s="47" t="s">
        <v>116</v>
      </c>
      <c r="J8" s="48" t="s">
        <v>170</v>
      </c>
      <c r="K8" s="48" t="s">
        <v>171</v>
      </c>
      <c r="M8" s="48" t="s">
        <v>172</v>
      </c>
      <c r="N8" s="48" t="s">
        <v>173</v>
      </c>
    </row>
    <row r="9" s="41" customFormat="1" ht="12" spans="1:14">
      <c r="A9" s="43" t="s">
        <v>174</v>
      </c>
      <c r="B9" s="44" t="s">
        <v>169</v>
      </c>
      <c r="D9" s="43" t="s">
        <v>175</v>
      </c>
      <c r="E9" s="44" t="s">
        <v>169</v>
      </c>
      <c r="G9" s="47" t="s">
        <v>176</v>
      </c>
      <c r="H9" s="43">
        <v>2</v>
      </c>
      <c r="I9" s="43">
        <v>0</v>
      </c>
      <c r="J9" s="43">
        <v>0</v>
      </c>
      <c r="K9" s="48">
        <f>(H9*4)+(I9*6)+(J9*8)</f>
        <v>8</v>
      </c>
      <c r="M9" s="50" t="s">
        <v>177</v>
      </c>
      <c r="N9" s="51"/>
    </row>
    <row r="10" s="41" customFormat="1" ht="12" spans="1:14">
      <c r="A10" s="43" t="s">
        <v>178</v>
      </c>
      <c r="B10" s="44" t="s">
        <v>169</v>
      </c>
      <c r="D10" s="43"/>
      <c r="E10" s="44"/>
      <c r="G10" s="47" t="s">
        <v>179</v>
      </c>
      <c r="H10" s="43"/>
      <c r="I10" s="43"/>
      <c r="J10" s="43"/>
      <c r="K10" s="48">
        <f>(H10*3)+(I10*4)+(J10*6)</f>
        <v>0</v>
      </c>
      <c r="M10" s="50" t="s">
        <v>180</v>
      </c>
      <c r="N10" s="51"/>
    </row>
    <row r="11" s="41" customFormat="1" ht="12" customHeight="1" spans="1:14">
      <c r="A11" s="43"/>
      <c r="B11" s="44"/>
      <c r="D11" s="43"/>
      <c r="E11" s="44"/>
      <c r="G11" s="46" t="s">
        <v>181</v>
      </c>
      <c r="H11" s="46"/>
      <c r="I11" s="46"/>
      <c r="J11" s="46"/>
      <c r="K11" s="46"/>
      <c r="M11" s="50" t="s">
        <v>182</v>
      </c>
      <c r="N11" s="51"/>
    </row>
    <row r="12" s="41" customFormat="1" ht="12" spans="1:14">
      <c r="A12" s="43"/>
      <c r="B12" s="44"/>
      <c r="D12" s="43"/>
      <c r="E12" s="44"/>
      <c r="G12" s="47" t="s">
        <v>168</v>
      </c>
      <c r="H12" s="47" t="s">
        <v>169</v>
      </c>
      <c r="I12" s="47" t="s">
        <v>116</v>
      </c>
      <c r="J12" s="48" t="s">
        <v>170</v>
      </c>
      <c r="K12" s="48" t="s">
        <v>171</v>
      </c>
      <c r="M12" s="50" t="s">
        <v>183</v>
      </c>
      <c r="N12" s="51"/>
    </row>
    <row r="13" s="41" customFormat="1" ht="12" spans="1:23">
      <c r="A13" s="43"/>
      <c r="B13" s="44"/>
      <c r="D13" s="43"/>
      <c r="E13" s="44"/>
      <c r="G13" s="47" t="s">
        <v>184</v>
      </c>
      <c r="H13" s="43">
        <v>1</v>
      </c>
      <c r="I13" s="43"/>
      <c r="J13" s="43"/>
      <c r="K13" s="48">
        <f>(H13*3)+(I13*4)+(J13*6)</f>
        <v>3</v>
      </c>
      <c r="M13" s="50" t="s">
        <v>185</v>
      </c>
      <c r="N13" s="51"/>
      <c r="W13" s="41" t="s">
        <v>186</v>
      </c>
    </row>
    <row r="14" s="41" customFormat="1" ht="12" spans="1:14">
      <c r="A14" s="43"/>
      <c r="B14" s="44"/>
      <c r="D14" s="43"/>
      <c r="E14" s="44"/>
      <c r="G14" s="47" t="s">
        <v>187</v>
      </c>
      <c r="H14" s="43"/>
      <c r="I14" s="43"/>
      <c r="J14" s="43"/>
      <c r="K14" s="48">
        <f>(H14*4)+(I14*5)+(J14*7)</f>
        <v>0</v>
      </c>
      <c r="M14" s="50" t="s">
        <v>188</v>
      </c>
      <c r="N14" s="51"/>
    </row>
    <row r="15" s="41" customFormat="1" ht="12" spans="1:14">
      <c r="A15" s="43"/>
      <c r="B15" s="44"/>
      <c r="D15" s="43"/>
      <c r="E15" s="44"/>
      <c r="G15" s="47" t="s">
        <v>189</v>
      </c>
      <c r="H15" s="43">
        <v>1</v>
      </c>
      <c r="I15" s="43"/>
      <c r="J15" s="43"/>
      <c r="K15" s="48">
        <f>(H15*3)+(I15*4)+(J15*6)</f>
        <v>3</v>
      </c>
      <c r="M15" s="50" t="s">
        <v>190</v>
      </c>
      <c r="N15" s="51"/>
    </row>
    <row r="16" s="41" customFormat="1" ht="12" customHeight="1" spans="1:14">
      <c r="A16" s="43"/>
      <c r="B16" s="44"/>
      <c r="D16" s="43"/>
      <c r="E16" s="44"/>
      <c r="G16" s="49" t="s">
        <v>191</v>
      </c>
      <c r="H16" s="49"/>
      <c r="I16" s="49"/>
      <c r="J16" s="49"/>
      <c r="K16" s="52">
        <f>SUM(K9,K10,K13,K14,K15)</f>
        <v>14</v>
      </c>
      <c r="M16" s="50" t="s">
        <v>192</v>
      </c>
      <c r="N16" s="51"/>
    </row>
    <row r="17" s="41" customFormat="1" ht="12" spans="1:14">
      <c r="A17" s="43"/>
      <c r="B17" s="44"/>
      <c r="D17" s="43"/>
      <c r="E17" s="44"/>
      <c r="M17" s="50" t="s">
        <v>193</v>
      </c>
      <c r="N17" s="51"/>
    </row>
    <row r="18" s="41" customFormat="1" ht="12" spans="1:14">
      <c r="A18" s="43"/>
      <c r="B18" s="44"/>
      <c r="D18" s="43"/>
      <c r="E18" s="44"/>
      <c r="M18" s="50" t="s">
        <v>194</v>
      </c>
      <c r="N18" s="51"/>
    </row>
    <row r="19" s="41" customFormat="1" ht="12" spans="1:14">
      <c r="A19" s="43"/>
      <c r="B19" s="44"/>
      <c r="D19" s="43"/>
      <c r="E19" s="44"/>
      <c r="M19" s="50" t="s">
        <v>195</v>
      </c>
      <c r="N19" s="51"/>
    </row>
    <row r="20" s="41" customFormat="1" ht="12" spans="1:14">
      <c r="A20" s="43"/>
      <c r="B20" s="44"/>
      <c r="D20" s="43"/>
      <c r="E20" s="44"/>
      <c r="M20" s="50" t="s">
        <v>196</v>
      </c>
      <c r="N20" s="51"/>
    </row>
    <row r="21" s="41" customFormat="1" ht="12" spans="13:14">
      <c r="M21" s="50" t="s">
        <v>197</v>
      </c>
      <c r="N21" s="51"/>
    </row>
    <row r="22" s="41" customFormat="1" ht="12" spans="13:14">
      <c r="M22" s="50" t="s">
        <v>198</v>
      </c>
      <c r="N22" s="51"/>
    </row>
    <row r="23" s="41" customFormat="1" ht="12" spans="13:14">
      <c r="M23" s="53" t="s">
        <v>199</v>
      </c>
      <c r="N23" s="54">
        <f>SUM(N9:N22)</f>
        <v>0</v>
      </c>
    </row>
    <row r="24" spans="13:14">
      <c r="M24" s="53" t="s">
        <v>200</v>
      </c>
      <c r="N24" s="52">
        <f>(N23*0.01)+0.65</f>
        <v>0.65</v>
      </c>
    </row>
    <row r="25" spans="13:14">
      <c r="M25" s="53" t="s">
        <v>201</v>
      </c>
      <c r="N25" s="55">
        <f>K16*N24</f>
        <v>9.1</v>
      </c>
    </row>
    <row r="26" spans="13:14">
      <c r="M26" s="53" t="s">
        <v>202</v>
      </c>
      <c r="N26" s="56">
        <v>19</v>
      </c>
    </row>
    <row r="27" ht="21" spans="13:14">
      <c r="M27" s="57" t="s">
        <v>203</v>
      </c>
      <c r="N27" s="58">
        <f>N25*N26</f>
        <v>172.9</v>
      </c>
    </row>
  </sheetData>
  <mergeCells count="11">
    <mergeCell ref="A1:N1"/>
    <mergeCell ref="A2:N2"/>
    <mergeCell ref="A3:N3"/>
    <mergeCell ref="A4:N4"/>
    <mergeCell ref="A5:N5"/>
    <mergeCell ref="A7:B7"/>
    <mergeCell ref="D7:E7"/>
    <mergeCell ref="G7:K7"/>
    <mergeCell ref="M7:N7"/>
    <mergeCell ref="G11:K11"/>
    <mergeCell ref="G16:J16"/>
  </mergeCells>
  <dataValidations count="2">
    <dataValidation type="list" allowBlank="1" showInputMessage="1" showErrorMessage="1" sqref="B9:B20 E9:E20">
      <formula1>"Simples,Média,Complexa"</formula1>
    </dataValidation>
    <dataValidation type="list" allowBlank="1" showInputMessage="1" showErrorMessage="1" sqref="N9:N22">
      <formula1>"1,2,3,4,5"</formula1>
    </dataValidation>
  </dataValidations>
  <pageMargins left="0.511811023622047" right="0.511811023622047" top="1.18110236220472" bottom="1.18110236220472" header="0.78740157480315" footer="0.78740157480315"/>
  <pageSetup paperSize="9" fitToWidth="0" fitToHeight="0" orientation="landscape"/>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29"/>
  <sheetViews>
    <sheetView workbookViewId="0">
      <selection activeCell="A1" sqref="A1:N1"/>
    </sheetView>
  </sheetViews>
  <sheetFormatPr defaultColWidth="9" defaultRowHeight="14.4"/>
  <cols>
    <col min="1" max="1" width="45.5" style="1" customWidth="1"/>
    <col min="2" max="2" width="12.625" style="2" customWidth="1"/>
    <col min="3" max="3" width="12.75" style="1" customWidth="1"/>
    <col min="4" max="4" width="1.125" style="1" customWidth="1"/>
    <col min="5" max="5" width="24.875" style="1" customWidth="1"/>
    <col min="6" max="6" width="6.75" style="1" customWidth="1"/>
    <col min="7" max="7" width="7" style="1" customWidth="1"/>
    <col min="8" max="8" width="6.5" style="1" customWidth="1"/>
    <col min="9" max="9" width="7" style="1" customWidth="1"/>
    <col min="10" max="10" width="10.125" style="1" customWidth="1"/>
    <col min="11" max="11" width="7" style="1" customWidth="1"/>
    <col min="12" max="12" width="7.625" style="1" customWidth="1"/>
    <col min="13" max="13" width="7" style="1" customWidth="1"/>
    <col min="14" max="14" width="19.125" style="1" customWidth="1"/>
    <col min="15" max="1024" width="8.125" style="1" customWidth="1"/>
    <col min="1025" max="1025" width="9" customWidth="1"/>
  </cols>
  <sheetData>
    <row r="1" ht="21" spans="1:14">
      <c r="A1" s="3" t="s">
        <v>58</v>
      </c>
      <c r="B1" s="3"/>
      <c r="C1" s="3"/>
      <c r="D1" s="3"/>
      <c r="E1" s="3"/>
      <c r="F1" s="3"/>
      <c r="G1" s="3"/>
      <c r="H1" s="3"/>
      <c r="I1" s="3"/>
      <c r="J1" s="3"/>
      <c r="K1" s="3"/>
      <c r="L1" s="3"/>
      <c r="M1" s="3"/>
      <c r="N1" s="3"/>
    </row>
    <row r="2" ht="7.5" customHeight="1"/>
    <row r="3" ht="18" spans="1:14">
      <c r="A3" s="4" t="s">
        <v>59</v>
      </c>
      <c r="B3" s="4"/>
      <c r="C3" s="4"/>
      <c r="E3" s="4" t="s">
        <v>204</v>
      </c>
      <c r="F3" s="4"/>
      <c r="G3" s="4"/>
      <c r="H3" s="4"/>
      <c r="I3" s="4"/>
      <c r="J3" s="4"/>
      <c r="K3" s="4"/>
      <c r="L3" s="4"/>
      <c r="M3" s="4"/>
      <c r="N3" s="4"/>
    </row>
    <row r="4" spans="1:14">
      <c r="A4" s="5" t="s">
        <v>205</v>
      </c>
      <c r="B4" s="6">
        <f>'#Estimativa-APF#'!$N$27</f>
        <v>172.9</v>
      </c>
      <c r="C4" s="7" t="s">
        <v>61</v>
      </c>
      <c r="E4" s="8" t="s">
        <v>206</v>
      </c>
      <c r="F4" s="9" t="s">
        <v>22</v>
      </c>
      <c r="G4" s="9"/>
      <c r="H4" s="9" t="s">
        <v>40</v>
      </c>
      <c r="I4" s="9"/>
      <c r="J4" s="9" t="s">
        <v>48</v>
      </c>
      <c r="K4" s="9"/>
      <c r="L4" s="9" t="s">
        <v>51</v>
      </c>
      <c r="M4" s="9"/>
      <c r="N4" s="35"/>
    </row>
    <row r="5" ht="18" spans="1:14">
      <c r="A5" s="10" t="s">
        <v>62</v>
      </c>
      <c r="B5" s="11">
        <v>0</v>
      </c>
      <c r="C5" s="12" t="s">
        <v>207</v>
      </c>
      <c r="E5" s="8"/>
      <c r="F5" s="9" t="s">
        <v>23</v>
      </c>
      <c r="G5" s="9"/>
      <c r="H5" s="9" t="s">
        <v>23</v>
      </c>
      <c r="I5" s="9"/>
      <c r="J5" s="9" t="s">
        <v>23</v>
      </c>
      <c r="K5" s="9"/>
      <c r="L5" s="9" t="s">
        <v>23</v>
      </c>
      <c r="M5" s="9"/>
      <c r="N5" s="26" t="s">
        <v>208</v>
      </c>
    </row>
    <row r="6" spans="1:14">
      <c r="A6" s="13" t="s">
        <v>209</v>
      </c>
      <c r="B6" s="14">
        <f>B4+(B4*B5)</f>
        <v>172.9</v>
      </c>
      <c r="C6" s="12" t="s">
        <v>61</v>
      </c>
      <c r="E6" s="8"/>
      <c r="F6" s="15">
        <f>B6*G6</f>
        <v>8.645</v>
      </c>
      <c r="G6" s="16">
        <v>0.05</v>
      </c>
      <c r="H6" s="15">
        <f>B4*I6</f>
        <v>34.58</v>
      </c>
      <c r="I6" s="16">
        <v>0.2</v>
      </c>
      <c r="J6" s="15">
        <f>B4*K6</f>
        <v>112.385</v>
      </c>
      <c r="K6" s="16">
        <v>0.65</v>
      </c>
      <c r="L6" s="15">
        <f>B4*M6</f>
        <v>17.29</v>
      </c>
      <c r="M6" s="16">
        <v>0.1</v>
      </c>
      <c r="N6" s="15"/>
    </row>
    <row r="7" ht="15.6" spans="1:14">
      <c r="A7" s="7" t="s">
        <v>210</v>
      </c>
      <c r="B7" s="17">
        <v>1</v>
      </c>
      <c r="C7" s="7"/>
      <c r="E7" s="18" t="s">
        <v>211</v>
      </c>
      <c r="F7" s="15">
        <f>F6*G7</f>
        <v>4.75475</v>
      </c>
      <c r="G7" s="16">
        <v>0.55</v>
      </c>
      <c r="H7" s="15">
        <f>H6*I7</f>
        <v>10.374</v>
      </c>
      <c r="I7" s="16">
        <v>0.3</v>
      </c>
      <c r="J7" s="15">
        <f>J6*K7</f>
        <v>13.4862</v>
      </c>
      <c r="K7" s="16">
        <v>0.12</v>
      </c>
      <c r="L7" s="15">
        <f>L6*M7</f>
        <v>0.8645</v>
      </c>
      <c r="M7" s="16">
        <v>0.05</v>
      </c>
      <c r="N7" s="36">
        <f>SUM(F7,H7,J7,L7)</f>
        <v>29.47945</v>
      </c>
    </row>
    <row r="8" ht="15.6" spans="1:14">
      <c r="A8" s="7" t="s">
        <v>212</v>
      </c>
      <c r="B8" s="17">
        <v>40</v>
      </c>
      <c r="C8" s="7" t="s">
        <v>213</v>
      </c>
      <c r="E8" s="18" t="s">
        <v>214</v>
      </c>
      <c r="F8" s="15">
        <f>F6*G8</f>
        <v>1.29675</v>
      </c>
      <c r="G8" s="16">
        <v>0.15</v>
      </c>
      <c r="H8" s="15">
        <f>H6*I8</f>
        <v>6.916</v>
      </c>
      <c r="I8" s="16">
        <v>0.2</v>
      </c>
      <c r="J8" s="15">
        <f>J6*K8</f>
        <v>11.2385</v>
      </c>
      <c r="K8" s="16">
        <v>0.1</v>
      </c>
      <c r="L8" s="15">
        <f>L6*M8</f>
        <v>0.8645</v>
      </c>
      <c r="M8" s="16">
        <v>0.05</v>
      </c>
      <c r="N8" s="36">
        <f>SUM(F8,H8,J8,L8)</f>
        <v>20.31575</v>
      </c>
    </row>
    <row r="9" ht="15.6" spans="1:14">
      <c r="A9" s="7" t="s">
        <v>215</v>
      </c>
      <c r="B9" s="17">
        <v>2</v>
      </c>
      <c r="C9" s="7" t="s">
        <v>72</v>
      </c>
      <c r="E9" s="18" t="s">
        <v>216</v>
      </c>
      <c r="F9" s="15">
        <f>F6*G9</f>
        <v>0.1729</v>
      </c>
      <c r="G9" s="16">
        <v>0.02</v>
      </c>
      <c r="H9" s="15">
        <f>H6*I9</f>
        <v>6.916</v>
      </c>
      <c r="I9" s="16">
        <v>0.2</v>
      </c>
      <c r="J9" s="15">
        <f>J6*K9</f>
        <v>44.954</v>
      </c>
      <c r="K9" s="16">
        <v>0.4</v>
      </c>
      <c r="L9" s="15">
        <f>L6*M9</f>
        <v>2.5935</v>
      </c>
      <c r="M9" s="16">
        <v>0.15</v>
      </c>
      <c r="N9" s="36">
        <f>SUM(F9,H9,J9,L9)</f>
        <v>54.6364</v>
      </c>
    </row>
    <row r="10" ht="15.6" spans="1:14">
      <c r="A10" s="19" t="s">
        <v>217</v>
      </c>
      <c r="B10" s="20">
        <f>(B7*B8)*B9</f>
        <v>80</v>
      </c>
      <c r="C10" s="19" t="s">
        <v>61</v>
      </c>
      <c r="E10" s="18" t="s">
        <v>218</v>
      </c>
      <c r="F10" s="15">
        <f>F6*G10</f>
        <v>0.43225</v>
      </c>
      <c r="G10" s="16">
        <v>0.05</v>
      </c>
      <c r="H10" s="15">
        <f>H6*I10</f>
        <v>2.7664</v>
      </c>
      <c r="I10" s="16">
        <v>0.08</v>
      </c>
      <c r="J10" s="15">
        <f>J6*K10</f>
        <v>11.2385</v>
      </c>
      <c r="K10" s="16">
        <v>0.1</v>
      </c>
      <c r="L10" s="15">
        <f>L6*M10</f>
        <v>1.729</v>
      </c>
      <c r="M10" s="16">
        <v>0.1</v>
      </c>
      <c r="N10" s="36">
        <f>SUM(F10,H10,J10,L10)</f>
        <v>16.16615</v>
      </c>
    </row>
    <row r="11" ht="15.6" spans="1:14">
      <c r="A11" s="5" t="s">
        <v>219</v>
      </c>
      <c r="B11" s="21">
        <f>B6/B10*2</f>
        <v>4.3225</v>
      </c>
      <c r="C11" s="5" t="s">
        <v>72</v>
      </c>
      <c r="E11" s="18" t="s">
        <v>220</v>
      </c>
      <c r="F11" s="15">
        <f>F6*G11</f>
        <v>0</v>
      </c>
      <c r="G11" s="16">
        <v>0</v>
      </c>
      <c r="H11" s="15">
        <f>H6*I11</f>
        <v>0.6916</v>
      </c>
      <c r="I11" s="16">
        <v>0.02</v>
      </c>
      <c r="J11" s="15">
        <f>J6*K11</f>
        <v>5.61925</v>
      </c>
      <c r="K11" s="16">
        <v>0.05</v>
      </c>
      <c r="L11" s="15">
        <f>L6*M11</f>
        <v>1.729</v>
      </c>
      <c r="M11" s="16">
        <v>0.1</v>
      </c>
      <c r="N11" s="36">
        <f>SUM(F11,H11,J11,L11)</f>
        <v>8.03985</v>
      </c>
    </row>
    <row r="12" spans="1:14">
      <c r="A12" s="5" t="s">
        <v>221</v>
      </c>
      <c r="B12" s="21">
        <f>B11/4</f>
        <v>1.080625</v>
      </c>
      <c r="C12" s="5" t="s">
        <v>74</v>
      </c>
      <c r="E12" s="22" t="s">
        <v>222</v>
      </c>
      <c r="F12" s="23">
        <f t="shared" ref="F12:M12" si="0">SUM(F7:F11)</f>
        <v>6.65665</v>
      </c>
      <c r="G12" s="24">
        <f t="shared" si="0"/>
        <v>0.77</v>
      </c>
      <c r="H12" s="23">
        <f t="shared" si="0"/>
        <v>27.664</v>
      </c>
      <c r="I12" s="24">
        <f t="shared" si="0"/>
        <v>0.8</v>
      </c>
      <c r="J12" s="23">
        <f t="shared" si="0"/>
        <v>86.53645</v>
      </c>
      <c r="K12" s="24">
        <f t="shared" si="0"/>
        <v>0.77</v>
      </c>
      <c r="L12" s="23">
        <f t="shared" si="0"/>
        <v>7.7805</v>
      </c>
      <c r="M12" s="24">
        <f t="shared" si="0"/>
        <v>0.45</v>
      </c>
      <c r="N12" s="22"/>
    </row>
    <row r="13" ht="15.6" spans="1:14">
      <c r="A13" s="19" t="s">
        <v>223</v>
      </c>
      <c r="B13" s="25">
        <f>B11/B9</f>
        <v>2.16125</v>
      </c>
      <c r="C13" s="19" t="s">
        <v>224</v>
      </c>
      <c r="E13" s="18" t="s">
        <v>225</v>
      </c>
      <c r="F13" s="15">
        <f>F6*G13</f>
        <v>0.25935</v>
      </c>
      <c r="G13" s="16">
        <v>0.03</v>
      </c>
      <c r="H13" s="15">
        <f>H6*I13</f>
        <v>2.7664</v>
      </c>
      <c r="I13" s="16">
        <v>0.08</v>
      </c>
      <c r="J13" s="15">
        <f>J6*K13</f>
        <v>14.61005</v>
      </c>
      <c r="K13" s="16">
        <v>0.13</v>
      </c>
      <c r="L13" s="15">
        <f>L6*M13</f>
        <v>5.187</v>
      </c>
      <c r="M13" s="16">
        <v>0.3</v>
      </c>
      <c r="N13" s="36">
        <f>SUM(F13,H13,J13,L13)</f>
        <v>22.8228</v>
      </c>
    </row>
    <row r="14" ht="15.6" spans="5:14">
      <c r="E14" s="18" t="s">
        <v>226</v>
      </c>
      <c r="F14" s="15">
        <f>F6*G14</f>
        <v>1.729</v>
      </c>
      <c r="G14" s="16">
        <v>0.2</v>
      </c>
      <c r="H14" s="15">
        <f>H6*I14</f>
        <v>4.1496</v>
      </c>
      <c r="I14" s="16">
        <v>0.12</v>
      </c>
      <c r="J14" s="15">
        <f>J6*K14</f>
        <v>11.2385</v>
      </c>
      <c r="K14" s="16">
        <v>0.1</v>
      </c>
      <c r="L14" s="15">
        <f>L6*M14</f>
        <v>4.3225</v>
      </c>
      <c r="M14" s="16">
        <v>0.25</v>
      </c>
      <c r="N14" s="36">
        <f>SUM(F14,H14,J14,L14)</f>
        <v>21.4396</v>
      </c>
    </row>
    <row r="15" spans="5:14">
      <c r="E15" s="22" t="s">
        <v>227</v>
      </c>
      <c r="F15" s="23">
        <f t="shared" ref="F15:M15" si="1">SUM(F13:F14)</f>
        <v>1.98835</v>
      </c>
      <c r="G15" s="24">
        <f t="shared" si="1"/>
        <v>0.23</v>
      </c>
      <c r="H15" s="23">
        <f t="shared" si="1"/>
        <v>6.916</v>
      </c>
      <c r="I15" s="24">
        <f t="shared" si="1"/>
        <v>0.2</v>
      </c>
      <c r="J15" s="23">
        <f t="shared" si="1"/>
        <v>25.84855</v>
      </c>
      <c r="K15" s="24">
        <f t="shared" si="1"/>
        <v>0.23</v>
      </c>
      <c r="L15" s="23">
        <f t="shared" si="1"/>
        <v>9.5095</v>
      </c>
      <c r="M15" s="24">
        <f t="shared" si="1"/>
        <v>0.55</v>
      </c>
      <c r="N15" s="22"/>
    </row>
    <row r="16" ht="18" spans="1:14">
      <c r="A16" s="4" t="s">
        <v>75</v>
      </c>
      <c r="B16" s="4"/>
      <c r="C16" s="4"/>
      <c r="E16" s="26" t="s">
        <v>228</v>
      </c>
      <c r="F16" s="27">
        <f t="shared" ref="F16:M16" si="2">F12+F15</f>
        <v>8.645</v>
      </c>
      <c r="G16" s="28">
        <f t="shared" si="2"/>
        <v>1</v>
      </c>
      <c r="H16" s="27">
        <f t="shared" si="2"/>
        <v>34.58</v>
      </c>
      <c r="I16" s="28">
        <f t="shared" si="2"/>
        <v>1</v>
      </c>
      <c r="J16" s="27">
        <f t="shared" si="2"/>
        <v>112.385</v>
      </c>
      <c r="K16" s="28">
        <f t="shared" si="2"/>
        <v>1</v>
      </c>
      <c r="L16" s="27">
        <f t="shared" si="2"/>
        <v>17.29</v>
      </c>
      <c r="M16" s="28">
        <f t="shared" si="2"/>
        <v>1</v>
      </c>
      <c r="N16" s="37">
        <f>SUM(N7:N11,N13,N14)</f>
        <v>172.9</v>
      </c>
    </row>
    <row r="17" spans="1:14">
      <c r="A17" s="7" t="s">
        <v>76</v>
      </c>
      <c r="B17" s="29">
        <v>20</v>
      </c>
      <c r="C17" s="12"/>
      <c r="N17" s="38"/>
    </row>
    <row r="18" spans="1:14">
      <c r="A18" s="7" t="s">
        <v>77</v>
      </c>
      <c r="B18" s="30">
        <f>B6*B17</f>
        <v>3458</v>
      </c>
      <c r="C18" s="12"/>
      <c r="L18" s="38"/>
      <c r="N18" s="38"/>
    </row>
    <row r="19" spans="1:14">
      <c r="A19" s="7" t="s">
        <v>78</v>
      </c>
      <c r="B19" s="11">
        <v>0</v>
      </c>
      <c r="C19" s="12"/>
      <c r="N19" s="38"/>
    </row>
    <row r="20" spans="1:14">
      <c r="A20" s="7" t="s">
        <v>79</v>
      </c>
      <c r="B20" s="31">
        <f>B18*B19</f>
        <v>0</v>
      </c>
      <c r="C20" s="12"/>
      <c r="L20" s="38"/>
      <c r="N20" s="38"/>
    </row>
    <row r="21" ht="15.6" spans="1:14">
      <c r="A21" s="32" t="s">
        <v>229</v>
      </c>
      <c r="B21" s="33">
        <f>B18+B20</f>
        <v>3458</v>
      </c>
      <c r="C21" s="12"/>
      <c r="N21" s="38"/>
    </row>
    <row r="22" spans="1:10">
      <c r="A22" s="7" t="s">
        <v>81</v>
      </c>
      <c r="B22" s="11">
        <v>0.2</v>
      </c>
      <c r="C22" s="12"/>
      <c r="J22" s="38"/>
    </row>
    <row r="23" spans="1:3">
      <c r="A23" s="7" t="s">
        <v>82</v>
      </c>
      <c r="B23" s="34">
        <f>B21*B22</f>
        <v>691.6</v>
      </c>
      <c r="C23" s="12"/>
    </row>
    <row r="24" ht="15.6" spans="1:3">
      <c r="A24" s="32" t="s">
        <v>230</v>
      </c>
      <c r="B24" s="33">
        <f>B21+B23</f>
        <v>4149.6</v>
      </c>
      <c r="C24" s="12"/>
    </row>
    <row r="26" spans="10:10">
      <c r="J26" s="38"/>
    </row>
    <row r="27" spans="10:10">
      <c r="J27" s="38"/>
    </row>
    <row r="28" spans="14:14">
      <c r="N28" s="38"/>
    </row>
    <row r="29" spans="14:14">
      <c r="N29" s="38"/>
    </row>
  </sheetData>
  <mergeCells count="13">
    <mergeCell ref="A1:N1"/>
    <mergeCell ref="A3:C3"/>
    <mergeCell ref="E3:N3"/>
    <mergeCell ref="F4:G4"/>
    <mergeCell ref="H4:I4"/>
    <mergeCell ref="J4:K4"/>
    <mergeCell ref="L4:M4"/>
    <mergeCell ref="F5:G5"/>
    <mergeCell ref="H5:I5"/>
    <mergeCell ref="J5:K5"/>
    <mergeCell ref="L5:M5"/>
    <mergeCell ref="A16:C16"/>
    <mergeCell ref="E4:E6"/>
  </mergeCells>
  <pageMargins left="0.511811023622047" right="0.511811023622047" top="1.18110236220472" bottom="1.18110236220472" header="0.78740157480315" footer="0.78740157480315"/>
  <pageSetup paperSize="9" fitToWidth="0" fitToHeight="0" orientation="portrait"/>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Equipe</vt:lpstr>
      <vt:lpstr>Backlog_Produto</vt:lpstr>
      <vt:lpstr>Planejamento</vt:lpstr>
      <vt:lpstr>Entregas</vt:lpstr>
      <vt:lpstr>Riscos</vt:lpstr>
      <vt:lpstr>#Estimativa-APF#</vt:lpstr>
      <vt:lpstr>#Planejamento-APF#</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Edson Murakami</dc:creator>
  <cp:lastModifiedBy>gabri</cp:lastModifiedBy>
  <cp:revision>8</cp:revision>
  <dcterms:created xsi:type="dcterms:W3CDTF">2025-06-04T07:35:00Z</dcterms:created>
  <dcterms:modified xsi:type="dcterms:W3CDTF">2025-09-04T12:51:09Z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891E5B3F862E43D594144F630BD5E1E8_13</vt:lpwstr>
  </property>
  <property fmtid="{D5CDD505-2E9C-101B-9397-08002B2CF9AE}" pid="3" name="KSOProductBuildVer">
    <vt:lpwstr>1046-12.2.0.22549</vt:lpwstr>
  </property>
</Properties>
</file>